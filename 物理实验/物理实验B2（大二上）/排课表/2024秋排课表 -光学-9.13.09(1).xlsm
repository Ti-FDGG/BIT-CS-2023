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emf" ContentType="image/x-emf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9040" windowHeight="15840"/>
  </bookViews>
  <sheets>
    <sheet name="排课表" sheetId="1" r:id="rId1"/>
    <sheet name="排课统计" sheetId="8" r:id="rId2"/>
    <sheet name="实验列表" sheetId="2" r:id="rId3"/>
    <sheet name="参数表" sheetId="6" r:id="rId4"/>
    <sheet name="校历" sheetId="4" r:id="rId5"/>
  </sheets>
  <definedNames>
    <definedName name="_xlnm._FilterDatabase" localSheetId="0" hidden="1">排课表!$C$1:$C$267</definedName>
  </definedNames>
  <calcPr calcId="144525"/>
</workbook>
</file>

<file path=xl/sharedStrings.xml><?xml version="1.0" encoding="utf-8"?>
<sst xmlns="http://schemas.openxmlformats.org/spreadsheetml/2006/main" count="555" uniqueCount="51">
  <si>
    <t>实验项目</t>
  </si>
  <si>
    <t>周一</t>
  </si>
  <si>
    <t>周二</t>
  </si>
  <si>
    <t>周三</t>
  </si>
  <si>
    <t>周四</t>
  </si>
  <si>
    <t>周五</t>
  </si>
  <si>
    <t>周六</t>
  </si>
  <si>
    <t>周日</t>
  </si>
  <si>
    <t>衡成林</t>
  </si>
  <si>
    <t>王荣瑶</t>
  </si>
  <si>
    <t>吴晓丽</t>
  </si>
  <si>
    <t>吕席卷</t>
  </si>
  <si>
    <t>黄荣新</t>
  </si>
  <si>
    <t>吴美辰</t>
  </si>
  <si>
    <t>闵灿雯</t>
  </si>
  <si>
    <t>张慧珍</t>
  </si>
  <si>
    <t>秦盛山</t>
  </si>
  <si>
    <t>李雨涛</t>
  </si>
  <si>
    <t>李彤</t>
  </si>
  <si>
    <t>路翠翠</t>
  </si>
  <si>
    <t>陶立</t>
  </si>
  <si>
    <t>郭耀</t>
  </si>
  <si>
    <t>刘智多</t>
  </si>
  <si>
    <t>毛鹏程</t>
  </si>
  <si>
    <t>光栅光谱实验</t>
  </si>
  <si>
    <t>光电效应普朗克常数</t>
  </si>
  <si>
    <t>光的干涉</t>
  </si>
  <si>
    <t>光的偏振</t>
  </si>
  <si>
    <t>总计</t>
  </si>
  <si>
    <t>序号</t>
  </si>
  <si>
    <t>参数名</t>
  </si>
  <si>
    <t>值</t>
  </si>
  <si>
    <t>说明</t>
  </si>
  <si>
    <t>学期名称</t>
  </si>
  <si>
    <t>2024年秋季学期</t>
  </si>
  <si>
    <t>课程名称</t>
  </si>
  <si>
    <t>物理实验B2</t>
  </si>
  <si>
    <t>起始日期</t>
  </si>
  <si>
    <t>校历第一周起始日期</t>
  </si>
  <si>
    <t>起始周次</t>
  </si>
  <si>
    <t>实验课程起始周次</t>
  </si>
  <si>
    <t>上午时间</t>
  </si>
  <si>
    <t>9:55-12:10</t>
  </si>
  <si>
    <t>下午时间</t>
  </si>
  <si>
    <t>3:15-5:30</t>
  </si>
  <si>
    <t>晚上时间</t>
  </si>
  <si>
    <t>6:30-8:45</t>
  </si>
  <si>
    <t>保护密码</t>
  </si>
  <si>
    <t>周次</t>
  </si>
  <si>
    <t>终止日期</t>
  </si>
  <si>
    <t>日期范围</t>
  </si>
</sst>
</file>

<file path=xl/styles.xml><?xml version="1.0" encoding="utf-8"?>
<styleSheet xmlns="http://schemas.openxmlformats.org/spreadsheetml/2006/main">
  <numFmts count="37">
    <numFmt numFmtId="6" formatCode="&quot;￥&quot;#,##0;[Red]&quot;￥&quot;\-#,##0"/>
    <numFmt numFmtId="176" formatCode="\¥#,##0.00;[Red]\¥\-#,##0.00"/>
    <numFmt numFmtId="23" formatCode="\$#,##0_);\(\$#,##0\)"/>
    <numFmt numFmtId="177" formatCode="#\ ??/??"/>
    <numFmt numFmtId="5" formatCode="&quot;￥&quot;#,##0;&quot;￥&quot;\-#,##0"/>
    <numFmt numFmtId="24" formatCode="\$#,##0_);[Red]\(\$#,##0\)"/>
    <numFmt numFmtId="7" formatCode="&quot;￥&quot;#,##0.00;&quot;￥&quot;\-#,##0.00"/>
    <numFmt numFmtId="178" formatCode="[DBNum1]上午/下午h&quot;时&quot;mm&quot;分&quot;"/>
    <numFmt numFmtId="179" formatCode="yy/m/d"/>
    <numFmt numFmtId="26" formatCode="\$#,##0.00_);[Red]\(\$#,##0.00\)"/>
    <numFmt numFmtId="180" formatCode="[DBNum1][$-804]yyyy&quot;年&quot;m&quot;月&quot;d&quot;日&quot;"/>
    <numFmt numFmtId="181" formatCode="h:mm:ss\ AM/PM"/>
    <numFmt numFmtId="182" formatCode="yyyy&quot;年&quot;m&quot;月&quot;d&quot;日&quot;;@"/>
    <numFmt numFmtId="183" formatCode="[DBNum1][$-804]m&quot;月&quot;d&quot;日&quot;"/>
    <numFmt numFmtId="184" formatCode="\¥#,##0;\¥\-#,##0"/>
    <numFmt numFmtId="185" formatCode="yyyy/m/d\ h:mm\ AM/PM"/>
    <numFmt numFmtId="8" formatCode="&quot;￥&quot;#,##0.00;[Red]&quot;￥&quot;\-#,##0.00"/>
    <numFmt numFmtId="186" formatCode="mm/dd/yy"/>
    <numFmt numFmtId="187" formatCode="m/d"/>
    <numFmt numFmtId="188" formatCode="dd\-mmm\-yy"/>
    <numFmt numFmtId="189" formatCode="[DBNum1]h&quot;时&quot;mm&quot;分&quot;"/>
    <numFmt numFmtId="190" formatCode="[$-804]aaa"/>
    <numFmt numFmtId="191" formatCode="mmmmm"/>
    <numFmt numFmtId="192" formatCode="#\ ?/?"/>
    <numFmt numFmtId="42" formatCode="_ &quot;￥&quot;* #,##0_ ;_ &quot;￥&quot;* \-#,##0_ ;_ &quot;￥&quot;* &quot;-&quot;_ ;_ @_ "/>
    <numFmt numFmtId="41" formatCode="_ * #,##0_ ;_ * \-#,##0_ ;_ * &quot;-&quot;_ ;_ @_ "/>
    <numFmt numFmtId="193" formatCode="[DBNum1][$-804]yyyy&quot;年&quot;m&quot;月&quot;"/>
    <numFmt numFmtId="194" formatCode="h:mm\ AM/PM"/>
    <numFmt numFmtId="44" formatCode="_ &quot;￥&quot;* #,##0.00_ ;_ &quot;￥&quot;* \-#,##0.00_ ;_ &quot;￥&quot;* &quot;-&quot;??_ ;_ @_ "/>
    <numFmt numFmtId="43" formatCode="_ * #,##0.00_ ;_ * \-#,##0.00_ ;_ * &quot;-&quot;??_ ;_ @_ "/>
    <numFmt numFmtId="195" formatCode="\¥#,##0.00;\¥\-#,##0.00"/>
    <numFmt numFmtId="25" formatCode="\$#,##0.00_);\(\$#,##0.00\)"/>
    <numFmt numFmtId="196" formatCode="mmmm\-yy"/>
    <numFmt numFmtId="197" formatCode="\¥#,##0;[Red]\¥\-#,##0"/>
    <numFmt numFmtId="198" formatCode="#\ ??"/>
    <numFmt numFmtId="199" formatCode="[$-804]aaaa"/>
    <numFmt numFmtId="200" formatCode="mmmmm\-yy"/>
  </numFmts>
  <fonts count="30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4"/>
      <color theme="1"/>
      <name val="等线"/>
      <charset val="134"/>
      <scheme val="minor"/>
    </font>
    <font>
      <sz val="14"/>
      <name val="等线"/>
      <charset val="134"/>
      <scheme val="minor"/>
    </font>
    <font>
      <sz val="16"/>
      <name val="等线"/>
      <charset val="134"/>
      <scheme val="minor"/>
    </font>
    <font>
      <sz val="14"/>
      <color theme="1"/>
      <name val="等线"/>
      <charset val="134"/>
      <scheme val="minor"/>
    </font>
    <font>
      <sz val="14"/>
      <color rgb="FFFF0000"/>
      <name val="等线"/>
      <charset val="134"/>
      <scheme val="minor"/>
    </font>
    <font>
      <b/>
      <sz val="14"/>
      <color theme="1"/>
      <name val="等线"/>
      <charset val="134"/>
      <scheme val="minor"/>
    </font>
    <font>
      <sz val="14"/>
      <color rgb="FF000000"/>
      <name val="等线"/>
      <charset val="134"/>
    </font>
    <font>
      <sz val="11"/>
      <color rgb="FFFA7D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049989318521683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0" fontId="13" fillId="34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27" fillId="39" borderId="30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44" fontId="12" fillId="0" borderId="0" applyFont="0" applyFill="0" applyBorder="0" applyAlignment="0" applyProtection="0">
      <alignment vertical="center"/>
    </xf>
    <xf numFmtId="0" fontId="13" fillId="40" borderId="0" applyNumberFormat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24" fillId="29" borderId="30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22" fillId="0" borderId="29" applyNumberFormat="0" applyFill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20" fillId="22" borderId="26" applyNumberFormat="0" applyAlignment="0" applyProtection="0">
      <alignment vertical="center"/>
    </xf>
    <xf numFmtId="0" fontId="29" fillId="29" borderId="31" applyNumberFormat="0" applyAlignment="0" applyProtection="0">
      <alignment vertical="center"/>
    </xf>
    <xf numFmtId="0" fontId="19" fillId="0" borderId="25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42" fontId="12" fillId="0" borderId="0" applyFont="0" applyFill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2" fillId="23" borderId="27" applyNumberFormat="0" applyFont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21" fillId="0" borderId="25" applyNumberFormat="0" applyFill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8" fillId="0" borderId="28" applyNumberFormat="0" applyFill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0" fillId="0" borderId="24" applyNumberFormat="0" applyFill="0" applyAlignment="0" applyProtection="0">
      <alignment vertical="center"/>
    </xf>
  </cellStyleXfs>
  <cellXfs count="79">
    <xf numFmtId="0" fontId="0" fillId="0" borderId="0" xfId="0"/>
    <xf numFmtId="0" fontId="0" fillId="0" borderId="0" xfId="0" applyAlignment="1">
      <alignment horizontal="center"/>
    </xf>
    <xf numFmtId="182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center"/>
    </xf>
    <xf numFmtId="182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82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2" fillId="2" borderId="1" xfId="0" applyNumberFormat="1" applyFont="1" applyFill="1" applyBorder="1" applyAlignment="1">
      <alignment horizontal="center"/>
    </xf>
    <xf numFmtId="0" fontId="0" fillId="0" borderId="1" xfId="0" applyBorder="1"/>
    <xf numFmtId="0" fontId="1" fillId="0" borderId="0" xfId="0" applyFont="1"/>
    <xf numFmtId="0" fontId="3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 wrapText="1"/>
    </xf>
    <xf numFmtId="0" fontId="4" fillId="6" borderId="8" xfId="0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horizontal="center" vertical="center" wrapText="1"/>
    </xf>
    <xf numFmtId="0" fontId="4" fillId="6" borderId="10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 wrapText="1"/>
    </xf>
    <xf numFmtId="0" fontId="4" fillId="7" borderId="8" xfId="0" applyFont="1" applyFill="1" applyBorder="1" applyAlignment="1">
      <alignment horizontal="center" vertical="center" wrapText="1"/>
    </xf>
    <xf numFmtId="0" fontId="4" fillId="7" borderId="9" xfId="0" applyFont="1" applyFill="1" applyBorder="1" applyAlignment="1">
      <alignment horizontal="center" vertical="center" wrapText="1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 wrapText="1"/>
    </xf>
    <xf numFmtId="0" fontId="4" fillId="7" borderId="12" xfId="0" applyFont="1" applyFill="1" applyBorder="1" applyAlignment="1">
      <alignment horizontal="center" vertical="center" wrapText="1"/>
    </xf>
    <xf numFmtId="0" fontId="4" fillId="8" borderId="8" xfId="0" applyFont="1" applyFill="1" applyBorder="1" applyAlignment="1">
      <alignment horizontal="center" vertical="center" wrapText="1"/>
    </xf>
    <xf numFmtId="0" fontId="4" fillId="8" borderId="13" xfId="0" applyFont="1" applyFill="1" applyBorder="1" applyAlignment="1">
      <alignment horizontal="center" vertical="center" wrapText="1"/>
    </xf>
    <xf numFmtId="0" fontId="4" fillId="8" borderId="12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 wrapText="1"/>
    </xf>
    <xf numFmtId="0" fontId="4" fillId="8" borderId="15" xfId="0" applyFont="1" applyFill="1" applyBorder="1" applyAlignment="1">
      <alignment horizontal="center" vertical="center"/>
    </xf>
    <xf numFmtId="0" fontId="4" fillId="8" borderId="16" xfId="0" applyFont="1" applyFill="1" applyBorder="1" applyAlignment="1">
      <alignment horizontal="center" vertical="center" wrapText="1"/>
    </xf>
    <xf numFmtId="0" fontId="4" fillId="8" borderId="17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 wrapText="1"/>
    </xf>
    <xf numFmtId="0" fontId="4" fillId="8" borderId="15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9" borderId="19" xfId="0" applyFont="1" applyFill="1" applyBorder="1" applyAlignment="1">
      <alignment horizontal="center" vertical="center"/>
    </xf>
    <xf numFmtId="0" fontId="4" fillId="8" borderId="19" xfId="0" applyFont="1" applyFill="1" applyBorder="1" applyAlignment="1">
      <alignment horizontal="center" vertical="center"/>
    </xf>
    <xf numFmtId="0" fontId="6" fillId="8" borderId="19" xfId="0" applyFont="1" applyFill="1" applyBorder="1" applyAlignment="1">
      <alignment horizontal="center" vertical="center"/>
    </xf>
    <xf numFmtId="0" fontId="7" fillId="8" borderId="19" xfId="0" applyFont="1" applyFill="1" applyBorder="1" applyAlignment="1">
      <alignment horizontal="center" vertical="center"/>
    </xf>
    <xf numFmtId="0" fontId="4" fillId="9" borderId="20" xfId="0" applyFont="1" applyFill="1" applyBorder="1" applyAlignment="1">
      <alignment horizontal="center" vertical="center"/>
    </xf>
    <xf numFmtId="0" fontId="4" fillId="8" borderId="20" xfId="0" applyFont="1" applyFill="1" applyBorder="1" applyAlignment="1">
      <alignment horizontal="center" vertical="center"/>
    </xf>
    <xf numFmtId="0" fontId="4" fillId="11" borderId="13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0" fontId="4" fillId="8" borderId="21" xfId="0" applyFont="1" applyFill="1" applyBorder="1" applyAlignment="1">
      <alignment horizontal="center" vertical="center"/>
    </xf>
    <xf numFmtId="0" fontId="4" fillId="12" borderId="13" xfId="0" applyFont="1" applyFill="1" applyBorder="1" applyAlignment="1">
      <alignment horizontal="center" vertical="center"/>
    </xf>
    <xf numFmtId="0" fontId="5" fillId="5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4" fillId="6" borderId="19" xfId="0" applyFont="1" applyFill="1" applyBorder="1" applyAlignment="1">
      <alignment horizontal="center" vertical="center"/>
    </xf>
    <xf numFmtId="0" fontId="4" fillId="9" borderId="21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9" fillId="11" borderId="13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4" fillId="3" borderId="13" xfId="0" applyFont="1" applyFill="1" applyBorder="1" applyAlignment="1">
      <alignment horizontal="center" vertical="center" wrapText="1"/>
    </xf>
    <xf numFmtId="0" fontId="4" fillId="3" borderId="12" xfId="0" applyFont="1" applyFill="1" applyBorder="1" applyAlignment="1">
      <alignment horizontal="center" vertical="center"/>
    </xf>
  </cellXfs>
  <cellStyles count="49">
    <cellStyle name="常规" xfId="0" builtinId="0"/>
    <cellStyle name="60% - 强调文字颜色 6" xfId="1" builtinId="52"/>
    <cellStyle name="20% - 强调文字颜色 4" xfId="2" builtinId="42"/>
    <cellStyle name="强调文字颜色 4" xfId="3" builtinId="41"/>
    <cellStyle name="输入" xfId="4" builtinId="20"/>
    <cellStyle name="40% - 强调文字颜色 3" xfId="5" builtinId="39"/>
    <cellStyle name="20% - 强调文字颜色 3" xfId="6" builtinId="38"/>
    <cellStyle name="货币" xfId="7" builtinId="4"/>
    <cellStyle name="强调文字颜色 3" xfId="8" builtinId="37"/>
    <cellStyle name="百分比" xfId="9" builtinId="5"/>
    <cellStyle name="60% - 强调文字颜色 2" xfId="10" builtinId="36"/>
    <cellStyle name="60% - 强调文字颜色 5" xfId="11" builtinId="48"/>
    <cellStyle name="强调文字颜色 2" xfId="12" builtinId="33"/>
    <cellStyle name="60% - 强调文字颜色 1" xfId="13" builtinId="32"/>
    <cellStyle name="60% - 强调文字颜色 4" xfId="14" builtinId="44"/>
    <cellStyle name="计算" xfId="15" builtinId="22"/>
    <cellStyle name="强调文字颜色 1" xfId="16" builtinId="29"/>
    <cellStyle name="适中" xfId="17" builtinId="28"/>
    <cellStyle name="20% - 强调文字颜色 5" xfId="18" builtinId="46"/>
    <cellStyle name="好" xfId="19" builtinId="26"/>
    <cellStyle name="20% - 强调文字颜色 1" xfId="20" builtinId="30"/>
    <cellStyle name="汇总" xfId="21" builtinId="25"/>
    <cellStyle name="差" xfId="22" builtinId="27"/>
    <cellStyle name="检查单元格" xfId="23" builtinId="23"/>
    <cellStyle name="输出" xfId="24" builtinId="21"/>
    <cellStyle name="标题 1" xfId="25" builtinId="16"/>
    <cellStyle name="解释性文本" xfId="26" builtinId="53"/>
    <cellStyle name="20% - 强调文字颜色 2" xfId="27" builtinId="34"/>
    <cellStyle name="标题 4" xfId="28" builtinId="19"/>
    <cellStyle name="货币[0]" xfId="29" builtinId="7"/>
    <cellStyle name="40% - 强调文字颜色 4" xfId="30" builtinId="43"/>
    <cellStyle name="千位分隔" xfId="31" builtinId="3"/>
    <cellStyle name="已访问的超链接" xfId="32" builtinId="9"/>
    <cellStyle name="标题" xfId="33" builtinId="15"/>
    <cellStyle name="40% - 强调文字颜色 2" xfId="34" builtinId="35"/>
    <cellStyle name="警告文本" xfId="35" builtinId="11"/>
    <cellStyle name="60% - 强调文字颜色 3" xfId="36" builtinId="40"/>
    <cellStyle name="注释" xfId="37" builtinId="10"/>
    <cellStyle name="20% - 强调文字颜色 6" xfId="38" builtinId="50"/>
    <cellStyle name="强调文字颜色 5" xfId="39" builtinId="45"/>
    <cellStyle name="40% - 强调文字颜色 6" xfId="40" builtinId="51"/>
    <cellStyle name="超链接" xfId="41" builtinId="8"/>
    <cellStyle name="千位分隔[0]" xfId="42" builtinId="6"/>
    <cellStyle name="标题 2" xfId="43" builtinId="17"/>
    <cellStyle name="40% - 强调文字颜色 5" xfId="44" builtinId="47"/>
    <cellStyle name="标题 3" xfId="45" builtinId="18"/>
    <cellStyle name="强调文字颜色 6" xfId="46" builtinId="49"/>
    <cellStyle name="40% - 强调文字颜色 1" xfId="47" builtinId="31"/>
    <cellStyle name="链接单元格" xfId="48" builtinId="24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customXml" Target="../customXml/item1.xml"/><Relationship Id="rId8" Type="http://schemas.openxmlformats.org/officeDocument/2006/relationships/sharedStrings" Target="sharedString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openxmlformats.org/officeDocument/2006/relationships/styles" Target="styles.xml"/><Relationship Id="rId12" Type="http://schemas.openxmlformats.org/officeDocument/2006/relationships/customXml" Target="../customXml/item4.xml"/><Relationship Id="rId11" Type="http://schemas.openxmlformats.org/officeDocument/2006/relationships/customXml" Target="../customXml/item3.xml"/><Relationship Id="rId10" Type="http://schemas.openxmlformats.org/officeDocument/2006/relationships/customXml" Target="../customXml/item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3</xdr:row>
          <xdr:rowOff>9525</xdr:rowOff>
        </xdr:to>
        <xdr:sp>
          <xdr:nvSpPr>
            <xdr:cNvPr id="6145" name="CountButto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7286625" y="180975"/>
              <a:ext cx="68580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e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/>
  <dimension ref="A1:M267"/>
  <sheetViews>
    <sheetView tabSelected="1" topLeftCell="A100" workbookViewId="0">
      <selection activeCell="O105" sqref="O105"/>
    </sheetView>
  </sheetViews>
  <sheetFormatPr defaultColWidth="9" defaultRowHeight="18"/>
  <cols>
    <col min="1" max="1" width="14.25" style="13" customWidth="1"/>
    <col min="2" max="2" width="12.5" style="13" customWidth="1"/>
    <col min="3" max="3" width="5.5" style="13" customWidth="1"/>
    <col min="4" max="4" width="23.25" style="13" customWidth="1"/>
    <col min="5" max="11" width="12.5" style="13" customWidth="1"/>
    <col min="12" max="12" width="9" style="14"/>
    <col min="13" max="13" width="9" style="15"/>
    <col min="14" max="16384" width="9" style="14"/>
  </cols>
  <sheetData>
    <row r="1" ht="27" customHeight="1" spans="1:13">
      <c r="A1" s="16"/>
      <c r="B1" s="17" t="str">
        <f>参数表!B2&amp;参数表!B3&amp;"排课表"</f>
        <v>2024年秋季学期物理实验B2排课表</v>
      </c>
      <c r="C1" s="17"/>
      <c r="D1" s="17"/>
      <c r="E1" s="17"/>
      <c r="F1" s="17"/>
      <c r="G1" s="17"/>
      <c r="H1" s="17"/>
      <c r="I1" s="17"/>
      <c r="J1" s="17"/>
      <c r="K1" s="59"/>
      <c r="L1" s="60"/>
      <c r="M1" s="63"/>
    </row>
    <row r="2" ht="18.75" customHeight="1" spans="1:12">
      <c r="A2" s="18" t="str">
        <f>"第"&amp;VLOOKUP("起始周次",参数表!A:B,2,FALSE)&amp;"周"</f>
        <v>第5周</v>
      </c>
      <c r="B2" s="19"/>
      <c r="C2" s="20" t="s">
        <v>0</v>
      </c>
      <c r="D2" s="21"/>
      <c r="E2" s="43" t="s">
        <v>1</v>
      </c>
      <c r="F2" s="43" t="s">
        <v>2</v>
      </c>
      <c r="G2" s="43" t="s">
        <v>3</v>
      </c>
      <c r="H2" s="43" t="s">
        <v>4</v>
      </c>
      <c r="I2" s="43" t="s">
        <v>5</v>
      </c>
      <c r="J2" s="43" t="s">
        <v>6</v>
      </c>
      <c r="K2" s="43" t="s">
        <v>7</v>
      </c>
      <c r="L2" s="60"/>
    </row>
    <row r="3" customHeight="1" spans="1:12">
      <c r="A3" s="22" t="str">
        <f>VLOOKUP(A2,校历!B:F,4,FALSE)</f>
        <v>9.16-9.22</v>
      </c>
      <c r="B3" s="23" t="str">
        <f>"上午"&amp;CHAR(10)&amp;VLOOKUP("上午时间",参数表!A:B,2,FALSE)</f>
        <v>上午
9:55-12:10</v>
      </c>
      <c r="C3" s="24">
        <v>1</v>
      </c>
      <c r="D3" s="25" t="str">
        <f>IFERROR(VLOOKUP(C3,实验列表!A:B,2,FALSE),"")</f>
        <v>光栅光谱实验</v>
      </c>
      <c r="E3" s="44"/>
      <c r="F3" s="44"/>
      <c r="G3" s="45"/>
      <c r="H3" s="46" t="s">
        <v>8</v>
      </c>
      <c r="I3" s="46" t="s">
        <v>8</v>
      </c>
      <c r="J3" s="46"/>
      <c r="K3" s="61"/>
      <c r="L3" s="60"/>
    </row>
    <row r="4" spans="1:12">
      <c r="A4" s="22"/>
      <c r="B4" s="26"/>
      <c r="C4" s="24">
        <v>2</v>
      </c>
      <c r="D4" s="25" t="str">
        <f>IFERROR(VLOOKUP(C4,实验列表!A:B,2,FALSE),"")</f>
        <v>光电效应普朗克常数</v>
      </c>
      <c r="E4" s="44"/>
      <c r="F4" s="44"/>
      <c r="G4" s="45"/>
      <c r="H4" s="46"/>
      <c r="I4" s="46"/>
      <c r="J4" s="46"/>
      <c r="K4" s="61" t="s">
        <v>9</v>
      </c>
      <c r="L4" s="60"/>
    </row>
    <row r="5" spans="1:12">
      <c r="A5" s="22"/>
      <c r="B5" s="26"/>
      <c r="C5" s="24">
        <v>3</v>
      </c>
      <c r="D5" s="25" t="str">
        <f>IFERROR(VLOOKUP(C5,实验列表!A:B,2,FALSE),"")</f>
        <v>光的偏振</v>
      </c>
      <c r="E5" s="44"/>
      <c r="F5" s="44"/>
      <c r="G5" s="45"/>
      <c r="H5" s="46"/>
      <c r="I5" s="46"/>
      <c r="J5" s="46"/>
      <c r="K5" s="61"/>
      <c r="L5" s="60"/>
    </row>
    <row r="6" spans="1:13">
      <c r="A6" s="22"/>
      <c r="B6" s="26"/>
      <c r="C6" s="24">
        <v>4</v>
      </c>
      <c r="D6" s="25" t="str">
        <f>IFERROR(VLOOKUP(C6,实验列表!A:B,2,FALSE),"")</f>
        <v>光的干涉</v>
      </c>
      <c r="E6" s="44"/>
      <c r="F6" s="44"/>
      <c r="G6" s="45"/>
      <c r="H6" s="46" t="s">
        <v>10</v>
      </c>
      <c r="I6" s="46" t="s">
        <v>9</v>
      </c>
      <c r="J6" s="46" t="s">
        <v>10</v>
      </c>
      <c r="K6" s="61" t="s">
        <v>10</v>
      </c>
      <c r="L6" s="60"/>
      <c r="M6" s="63"/>
    </row>
    <row r="7" hidden="1" spans="1:13">
      <c r="A7" s="22"/>
      <c r="B7" s="26"/>
      <c r="C7" s="24">
        <v>5</v>
      </c>
      <c r="D7" s="25"/>
      <c r="E7" s="44"/>
      <c r="F7" s="44"/>
      <c r="G7" s="46"/>
      <c r="H7" s="46"/>
      <c r="I7" s="46"/>
      <c r="J7" s="46"/>
      <c r="K7" s="61"/>
      <c r="L7" s="60"/>
      <c r="M7" s="64"/>
    </row>
    <row r="8" hidden="1" spans="1:13">
      <c r="A8" s="22"/>
      <c r="B8" s="27"/>
      <c r="C8" s="24">
        <v>6</v>
      </c>
      <c r="D8" s="25"/>
      <c r="E8" s="44"/>
      <c r="F8" s="44"/>
      <c r="G8" s="46"/>
      <c r="H8" s="46"/>
      <c r="I8" s="46"/>
      <c r="J8" s="46"/>
      <c r="K8" s="61"/>
      <c r="L8" s="60"/>
      <c r="M8" s="63"/>
    </row>
    <row r="9" customHeight="1" spans="1:13">
      <c r="A9" s="22"/>
      <c r="B9" s="28" t="str">
        <f>"下午"&amp;CHAR(10)&amp;VLOOKUP("下午时间",参数表!A:B,2,FALSE)</f>
        <v>下午
3:15-5:30</v>
      </c>
      <c r="C9" s="29">
        <v>1</v>
      </c>
      <c r="D9" s="30" t="str">
        <f>IFERROR(VLOOKUP(C9,实验列表!A:B,2,FALSE),"")</f>
        <v>光栅光谱实验</v>
      </c>
      <c r="E9" s="44"/>
      <c r="F9" s="44"/>
      <c r="G9" s="45"/>
      <c r="H9" s="47" t="s">
        <v>8</v>
      </c>
      <c r="I9" s="47" t="s">
        <v>8</v>
      </c>
      <c r="J9" s="47"/>
      <c r="K9" s="55"/>
      <c r="L9" s="60"/>
      <c r="M9" s="64"/>
    </row>
    <row r="10" spans="1:12">
      <c r="A10" s="22"/>
      <c r="B10" s="31"/>
      <c r="C10" s="29">
        <v>2</v>
      </c>
      <c r="D10" s="30" t="str">
        <f>IFERROR(VLOOKUP(C10,实验列表!A:B,2,FALSE),"")</f>
        <v>光电效应普朗克常数</v>
      </c>
      <c r="E10" s="44"/>
      <c r="F10" s="44"/>
      <c r="G10" s="45"/>
      <c r="H10" s="47"/>
      <c r="I10" s="47"/>
      <c r="J10" s="47"/>
      <c r="K10" s="55" t="s">
        <v>9</v>
      </c>
      <c r="L10" s="60"/>
    </row>
    <row r="11" spans="1:12">
      <c r="A11" s="22"/>
      <c r="B11" s="31"/>
      <c r="C11" s="29">
        <v>3</v>
      </c>
      <c r="D11" s="30" t="str">
        <f>IFERROR(VLOOKUP(C11,实验列表!A:B,2,FALSE),"")</f>
        <v>光的偏振</v>
      </c>
      <c r="E11" s="44"/>
      <c r="F11" s="44"/>
      <c r="G11" s="45"/>
      <c r="H11" s="47"/>
      <c r="I11" s="47"/>
      <c r="J11" s="47"/>
      <c r="K11" s="55"/>
      <c r="L11" s="60"/>
    </row>
    <row r="12" spans="1:12">
      <c r="A12" s="22"/>
      <c r="B12" s="31"/>
      <c r="C12" s="29">
        <v>4</v>
      </c>
      <c r="D12" s="30" t="str">
        <f>IFERROR(VLOOKUP(C12,实验列表!A:B,2,FALSE),"")</f>
        <v>光的干涉</v>
      </c>
      <c r="E12" s="44"/>
      <c r="F12" s="44"/>
      <c r="G12" s="45"/>
      <c r="H12" s="47" t="s">
        <v>10</v>
      </c>
      <c r="I12" s="47" t="s">
        <v>9</v>
      </c>
      <c r="J12" s="47" t="s">
        <v>10</v>
      </c>
      <c r="K12" s="55" t="s">
        <v>10</v>
      </c>
      <c r="L12" s="60"/>
    </row>
    <row r="13" hidden="1" spans="1:12">
      <c r="A13" s="22"/>
      <c r="B13" s="31"/>
      <c r="C13" s="29">
        <v>5</v>
      </c>
      <c r="D13" s="30" t="str">
        <f>IFERROR(VLOOKUP(C13,实验列表!A:B,2,FALSE),"")</f>
        <v/>
      </c>
      <c r="E13" s="44"/>
      <c r="F13" s="44"/>
      <c r="G13" s="47"/>
      <c r="H13" s="47"/>
      <c r="I13" s="47"/>
      <c r="J13" s="47"/>
      <c r="K13" s="55"/>
      <c r="L13" s="60"/>
    </row>
    <row r="14" hidden="1" spans="1:12">
      <c r="A14" s="22"/>
      <c r="B14" s="32"/>
      <c r="C14" s="29">
        <v>6</v>
      </c>
      <c r="D14" s="30" t="str">
        <f>IFERROR(VLOOKUP(C14,实验列表!A:B,2,FALSE),"")</f>
        <v/>
      </c>
      <c r="E14" s="44"/>
      <c r="F14" s="44"/>
      <c r="G14" s="47"/>
      <c r="H14" s="47"/>
      <c r="I14" s="47"/>
      <c r="J14" s="47"/>
      <c r="K14" s="55"/>
      <c r="L14" s="60"/>
    </row>
    <row r="15" customHeight="1" spans="1:12">
      <c r="A15" s="22"/>
      <c r="B15" s="33" t="str">
        <f>"晚上"&amp;CHAR(10)&amp;VLOOKUP("晚上时间",参数表!A:B,2,FALSE)</f>
        <v>晚上
6:30-8:45</v>
      </c>
      <c r="C15" s="34">
        <v>1</v>
      </c>
      <c r="D15" s="35" t="str">
        <f>IFERROR(VLOOKUP(C15,实验列表!A:B,2,FALSE),"")</f>
        <v>光栅光谱实验</v>
      </c>
      <c r="E15" s="48"/>
      <c r="F15" s="48"/>
      <c r="G15" s="49" t="s">
        <v>8</v>
      </c>
      <c r="H15" s="50" t="s">
        <v>8</v>
      </c>
      <c r="I15" s="49" t="s">
        <v>8</v>
      </c>
      <c r="J15" s="49"/>
      <c r="K15" s="49"/>
      <c r="L15" s="60"/>
    </row>
    <row r="16" spans="1:12">
      <c r="A16" s="22"/>
      <c r="B16" s="36"/>
      <c r="C16" s="34">
        <v>2</v>
      </c>
      <c r="D16" s="35" t="str">
        <f>IFERROR(VLOOKUP(C16,实验列表!A:B,2,FALSE),"")</f>
        <v>光电效应普朗克常数</v>
      </c>
      <c r="E16" s="48"/>
      <c r="F16" s="48"/>
      <c r="G16" s="49"/>
      <c r="H16" s="51"/>
      <c r="I16" s="49"/>
      <c r="J16" s="49"/>
      <c r="K16" s="49" t="s">
        <v>9</v>
      </c>
      <c r="L16" s="60"/>
    </row>
    <row r="17" spans="1:12">
      <c r="A17" s="22"/>
      <c r="B17" s="36"/>
      <c r="C17" s="34">
        <v>3</v>
      </c>
      <c r="D17" s="35" t="str">
        <f>IFERROR(VLOOKUP(C17,实验列表!A:B,2,FALSE),"")</f>
        <v>光的偏振</v>
      </c>
      <c r="E17" s="48"/>
      <c r="F17" s="48"/>
      <c r="G17" s="49"/>
      <c r="H17" s="49"/>
      <c r="I17" s="49"/>
      <c r="J17" s="49"/>
      <c r="K17" s="49"/>
      <c r="L17" s="60"/>
    </row>
    <row r="18" ht="18.75" spans="1:12">
      <c r="A18" s="22"/>
      <c r="B18" s="36"/>
      <c r="C18" s="34">
        <v>4</v>
      </c>
      <c r="D18" s="35" t="str">
        <f>IFERROR(VLOOKUP(C18,实验列表!A:B,2,FALSE),"")</f>
        <v>光的干涉</v>
      </c>
      <c r="E18" s="48"/>
      <c r="F18" s="48"/>
      <c r="G18" s="49"/>
      <c r="H18" s="49" t="s">
        <v>10</v>
      </c>
      <c r="I18" s="49" t="s">
        <v>9</v>
      </c>
      <c r="J18" s="49" t="s">
        <v>10</v>
      </c>
      <c r="K18" s="49" t="s">
        <v>10</v>
      </c>
      <c r="L18" s="60"/>
    </row>
    <row r="19" hidden="1" spans="1:12">
      <c r="A19" s="22"/>
      <c r="B19" s="36"/>
      <c r="C19" s="34">
        <v>5</v>
      </c>
      <c r="D19" s="35" t="str">
        <f>IFERROR(VLOOKUP(C19,实验列表!A:B,2,FALSE),"")</f>
        <v/>
      </c>
      <c r="E19" s="48"/>
      <c r="F19" s="48"/>
      <c r="G19" s="49"/>
      <c r="H19" s="49"/>
      <c r="I19" s="49"/>
      <c r="J19" s="49"/>
      <c r="K19" s="49"/>
      <c r="L19" s="60"/>
    </row>
    <row r="20" ht="18.75" hidden="1" spans="1:12">
      <c r="A20" s="37"/>
      <c r="B20" s="38"/>
      <c r="C20" s="39">
        <v>6</v>
      </c>
      <c r="D20" s="40" t="str">
        <f>IFERROR(VLOOKUP(C20,实验列表!A:B,2,FALSE),"")</f>
        <v/>
      </c>
      <c r="E20" s="52"/>
      <c r="F20" s="52"/>
      <c r="G20" s="53"/>
      <c r="H20" s="53"/>
      <c r="I20" s="53"/>
      <c r="J20" s="53"/>
      <c r="K20" s="57"/>
      <c r="L20" s="60"/>
    </row>
    <row r="21" ht="18.75" spans="1:12">
      <c r="A21" s="18" t="str">
        <f>"第"&amp;MID(A2,2,FIND("周",A2)-2)+1&amp;"周"</f>
        <v>第6周</v>
      </c>
      <c r="B21" s="19"/>
      <c r="C21" s="20" t="s">
        <v>0</v>
      </c>
      <c r="D21" s="21"/>
      <c r="E21" s="43" t="s">
        <v>1</v>
      </c>
      <c r="F21" s="43" t="s">
        <v>2</v>
      </c>
      <c r="G21" s="43" t="s">
        <v>3</v>
      </c>
      <c r="H21" s="43" t="s">
        <v>4</v>
      </c>
      <c r="I21" s="43" t="s">
        <v>5</v>
      </c>
      <c r="J21" s="43" t="s">
        <v>6</v>
      </c>
      <c r="K21" s="43" t="s">
        <v>7</v>
      </c>
      <c r="L21" s="60"/>
    </row>
    <row r="22" customHeight="1" spans="1:12">
      <c r="A22" s="22" t="str">
        <f>VLOOKUP(A21,校历!B:F,4,FALSE)</f>
        <v>9.23-9.29</v>
      </c>
      <c r="B22" s="23" t="str">
        <f>"上午"&amp;CHAR(10)&amp;VLOOKUP("上午时间",参数表!A:B,2,FALSE)</f>
        <v>上午
9:55-12:10</v>
      </c>
      <c r="C22" s="24">
        <v>1</v>
      </c>
      <c r="D22" s="25" t="str">
        <f>IFERROR(VLOOKUP(C22,实验列表!A:B,2,FALSE),"")</f>
        <v>光栅光谱实验</v>
      </c>
      <c r="E22" s="45"/>
      <c r="F22" s="46"/>
      <c r="G22" s="45"/>
      <c r="H22" s="46" t="s">
        <v>8</v>
      </c>
      <c r="I22" s="46" t="s">
        <v>8</v>
      </c>
      <c r="J22" s="46"/>
      <c r="K22" s="61"/>
      <c r="L22" s="60"/>
    </row>
    <row r="23" spans="1:11">
      <c r="A23" s="22"/>
      <c r="B23" s="26"/>
      <c r="C23" s="24">
        <v>2</v>
      </c>
      <c r="D23" s="25" t="str">
        <f>IFERROR(VLOOKUP(C23,实验列表!A:B,2,FALSE),"")</f>
        <v>光电效应普朗克常数</v>
      </c>
      <c r="E23" s="45"/>
      <c r="F23" s="46"/>
      <c r="G23" s="45"/>
      <c r="H23" s="46"/>
      <c r="I23" s="46"/>
      <c r="J23" s="46" t="s">
        <v>11</v>
      </c>
      <c r="K23" s="61" t="s">
        <v>9</v>
      </c>
    </row>
    <row r="24" spans="1:12">
      <c r="A24" s="22"/>
      <c r="B24" s="26"/>
      <c r="C24" s="24">
        <v>3</v>
      </c>
      <c r="D24" s="25" t="str">
        <f>IFERROR(VLOOKUP(C24,实验列表!A:B,2,FALSE),"")</f>
        <v>光的偏振</v>
      </c>
      <c r="E24" s="45"/>
      <c r="F24" s="46"/>
      <c r="G24" s="45"/>
      <c r="H24" s="46"/>
      <c r="I24" s="46"/>
      <c r="J24" s="46"/>
      <c r="K24" s="61"/>
      <c r="L24" s="60"/>
    </row>
    <row r="25" spans="1:12">
      <c r="A25" s="22"/>
      <c r="B25" s="26"/>
      <c r="C25" s="24">
        <v>4</v>
      </c>
      <c r="D25" s="25" t="str">
        <f>IFERROR(VLOOKUP(C25,实验列表!A:B,2,FALSE),"")</f>
        <v>光的干涉</v>
      </c>
      <c r="E25" s="54" t="s">
        <v>12</v>
      </c>
      <c r="F25" s="46"/>
      <c r="G25" s="45"/>
      <c r="H25" s="46" t="s">
        <v>10</v>
      </c>
      <c r="I25" s="46" t="s">
        <v>9</v>
      </c>
      <c r="J25" s="46" t="s">
        <v>10</v>
      </c>
      <c r="K25" s="61" t="s">
        <v>10</v>
      </c>
      <c r="L25" s="60"/>
    </row>
    <row r="26" hidden="1" spans="1:11">
      <c r="A26" s="22"/>
      <c r="B26" s="26"/>
      <c r="C26" s="24">
        <v>5</v>
      </c>
      <c r="D26" s="25" t="str">
        <f>IFERROR(VLOOKUP(C26,实验列表!A:B,2,FALSE),"")</f>
        <v/>
      </c>
      <c r="E26" s="46"/>
      <c r="F26" s="46"/>
      <c r="G26" s="46"/>
      <c r="H26" s="46"/>
      <c r="I26" s="46"/>
      <c r="J26" s="46"/>
      <c r="K26" s="61"/>
    </row>
    <row r="27" hidden="1" spans="1:11">
      <c r="A27" s="22"/>
      <c r="B27" s="27"/>
      <c r="C27" s="24">
        <v>6</v>
      </c>
      <c r="D27" s="25" t="str">
        <f>IFERROR(VLOOKUP(C27,实验列表!A:B,2,FALSE),"")</f>
        <v/>
      </c>
      <c r="E27" s="46"/>
      <c r="F27" s="46"/>
      <c r="G27" s="46"/>
      <c r="H27" s="46"/>
      <c r="I27" s="46"/>
      <c r="J27" s="46"/>
      <c r="K27" s="61"/>
    </row>
    <row r="28" customHeight="1" spans="1:11">
      <c r="A28" s="22"/>
      <c r="B28" s="28" t="str">
        <f>"下午"&amp;CHAR(10)&amp;VLOOKUP("下午时间",参数表!A:B,2,FALSE)</f>
        <v>下午
3:15-5:30</v>
      </c>
      <c r="C28" s="29">
        <v>1</v>
      </c>
      <c r="D28" s="30" t="str">
        <f>IFERROR(VLOOKUP(C28,实验列表!A:B,2,FALSE),"")</f>
        <v>光栅光谱实验</v>
      </c>
      <c r="E28" s="55"/>
      <c r="F28" s="47"/>
      <c r="G28" s="45"/>
      <c r="H28" s="47" t="s">
        <v>8</v>
      </c>
      <c r="I28" s="47" t="s">
        <v>8</v>
      </c>
      <c r="J28" s="47"/>
      <c r="K28" s="55"/>
    </row>
    <row r="29" spans="1:11">
      <c r="A29" s="22"/>
      <c r="B29" s="31"/>
      <c r="C29" s="29">
        <v>2</v>
      </c>
      <c r="D29" s="30" t="str">
        <f>IFERROR(VLOOKUP(C29,实验列表!A:B,2,FALSE),"")</f>
        <v>光电效应普朗克常数</v>
      </c>
      <c r="E29" s="56" t="s">
        <v>13</v>
      </c>
      <c r="F29" s="47"/>
      <c r="G29" s="45"/>
      <c r="H29" s="47"/>
      <c r="I29" s="47"/>
      <c r="J29" s="47" t="s">
        <v>11</v>
      </c>
      <c r="K29" s="55" t="s">
        <v>9</v>
      </c>
    </row>
    <row r="30" spans="1:12">
      <c r="A30" s="22"/>
      <c r="B30" s="31"/>
      <c r="C30" s="29">
        <v>3</v>
      </c>
      <c r="D30" s="30" t="str">
        <f>IFERROR(VLOOKUP(C30,实验列表!A:B,2,FALSE),"")</f>
        <v>光的偏振</v>
      </c>
      <c r="E30" s="55"/>
      <c r="F30" s="47"/>
      <c r="G30" s="45"/>
      <c r="H30" s="47"/>
      <c r="I30" s="47"/>
      <c r="J30" s="47"/>
      <c r="K30" s="55"/>
      <c r="L30" s="60"/>
    </row>
    <row r="31" spans="1:12">
      <c r="A31" s="22"/>
      <c r="B31" s="31"/>
      <c r="C31" s="29">
        <v>4</v>
      </c>
      <c r="D31" s="30" t="str">
        <f>IFERROR(VLOOKUP(C31,实验列表!A:B,2,FALSE),"")</f>
        <v>光的干涉</v>
      </c>
      <c r="E31" s="55" t="s">
        <v>9</v>
      </c>
      <c r="F31" s="54" t="s">
        <v>12</v>
      </c>
      <c r="G31" s="54" t="s">
        <v>12</v>
      </c>
      <c r="H31" s="47" t="s">
        <v>10</v>
      </c>
      <c r="I31" s="47" t="s">
        <v>9</v>
      </c>
      <c r="J31" s="47" t="s">
        <v>10</v>
      </c>
      <c r="K31" s="55" t="s">
        <v>10</v>
      </c>
      <c r="L31" s="60"/>
    </row>
    <row r="32" hidden="1" spans="1:12">
      <c r="A32" s="22"/>
      <c r="B32" s="31"/>
      <c r="C32" s="29">
        <v>5</v>
      </c>
      <c r="D32" s="30" t="str">
        <f>IFERROR(VLOOKUP(C32,实验列表!A:B,2,FALSE),"")</f>
        <v/>
      </c>
      <c r="E32" s="55"/>
      <c r="F32" s="47"/>
      <c r="G32" s="47"/>
      <c r="H32" s="47"/>
      <c r="I32" s="47"/>
      <c r="J32" s="47"/>
      <c r="K32" s="55"/>
      <c r="L32" s="60"/>
    </row>
    <row r="33" hidden="1" spans="1:12">
      <c r="A33" s="22"/>
      <c r="B33" s="32"/>
      <c r="C33" s="29">
        <v>6</v>
      </c>
      <c r="D33" s="30" t="str">
        <f>IFERROR(VLOOKUP(C33,实验列表!A:B,2,FALSE),"")</f>
        <v/>
      </c>
      <c r="E33" s="55"/>
      <c r="F33" s="47"/>
      <c r="G33" s="47"/>
      <c r="H33" s="47"/>
      <c r="I33" s="47"/>
      <c r="J33" s="47"/>
      <c r="K33" s="55"/>
      <c r="L33" s="60"/>
    </row>
    <row r="34" customHeight="1" spans="1:11">
      <c r="A34" s="22"/>
      <c r="B34" s="33" t="str">
        <f>"晚上"&amp;CHAR(10)&amp;VLOOKUP("晚上时间",参数表!A:B,2,FALSE)</f>
        <v>晚上
6:30-8:45</v>
      </c>
      <c r="C34" s="34">
        <v>1</v>
      </c>
      <c r="D34" s="35" t="str">
        <f>IFERROR(VLOOKUP(C34,实验列表!A:B,2,FALSE),"")</f>
        <v>光栅光谱实验</v>
      </c>
      <c r="E34" s="49"/>
      <c r="F34" s="49"/>
      <c r="G34" s="49" t="s">
        <v>8</v>
      </c>
      <c r="H34" s="49" t="s">
        <v>8</v>
      </c>
      <c r="I34" s="49" t="s">
        <v>8</v>
      </c>
      <c r="J34" s="49"/>
      <c r="K34" s="49"/>
    </row>
    <row r="35" spans="1:11">
      <c r="A35" s="22"/>
      <c r="B35" s="41"/>
      <c r="C35" s="34">
        <v>2</v>
      </c>
      <c r="D35" s="35" t="str">
        <f>IFERROR(VLOOKUP(C35,实验列表!A:B,2,FALSE),"")</f>
        <v>光电效应普朗克常数</v>
      </c>
      <c r="E35" s="49"/>
      <c r="F35" s="56" t="s">
        <v>13</v>
      </c>
      <c r="G35" s="49"/>
      <c r="H35" s="56" t="s">
        <v>13</v>
      </c>
      <c r="I35" s="56" t="s">
        <v>13</v>
      </c>
      <c r="J35" s="49" t="s">
        <v>11</v>
      </c>
      <c r="K35" s="49" t="s">
        <v>9</v>
      </c>
    </row>
    <row r="36" spans="1:11">
      <c r="A36" s="22"/>
      <c r="B36" s="41"/>
      <c r="C36" s="34">
        <v>3</v>
      </c>
      <c r="D36" s="35" t="str">
        <f>IFERROR(VLOOKUP(C36,实验列表!A:B,2,FALSE),"")</f>
        <v>光的偏振</v>
      </c>
      <c r="E36" s="49"/>
      <c r="F36" s="49"/>
      <c r="G36" s="49"/>
      <c r="H36" s="49"/>
      <c r="I36" s="49"/>
      <c r="J36" s="49"/>
      <c r="K36" s="49"/>
    </row>
    <row r="37" ht="18.75" spans="1:11">
      <c r="A37" s="22"/>
      <c r="B37" s="41"/>
      <c r="C37" s="34">
        <v>4</v>
      </c>
      <c r="D37" s="35" t="str">
        <f>IFERROR(VLOOKUP(C37,实验列表!A:B,2,FALSE),"")</f>
        <v>光的干涉</v>
      </c>
      <c r="E37" s="49" t="s">
        <v>9</v>
      </c>
      <c r="F37" s="49"/>
      <c r="G37" s="49"/>
      <c r="H37" s="49" t="s">
        <v>10</v>
      </c>
      <c r="I37" s="49" t="s">
        <v>9</v>
      </c>
      <c r="J37" s="49" t="s">
        <v>10</v>
      </c>
      <c r="K37" s="49" t="s">
        <v>10</v>
      </c>
    </row>
    <row r="38" hidden="1" spans="1:11">
      <c r="A38" s="22"/>
      <c r="B38" s="41"/>
      <c r="C38" s="34">
        <v>5</v>
      </c>
      <c r="D38" s="35" t="str">
        <f>IFERROR(VLOOKUP(C38,实验列表!A:B,2,FALSE),"")</f>
        <v/>
      </c>
      <c r="E38" s="49"/>
      <c r="F38" s="49"/>
      <c r="G38" s="49"/>
      <c r="H38" s="49"/>
      <c r="I38" s="49"/>
      <c r="J38" s="49"/>
      <c r="K38" s="49"/>
    </row>
    <row r="39" ht="18.75" hidden="1" spans="1:11">
      <c r="A39" s="37"/>
      <c r="B39" s="42"/>
      <c r="C39" s="39">
        <v>6</v>
      </c>
      <c r="D39" s="40" t="str">
        <f>IFERROR(VLOOKUP(C39,实验列表!A:B,2,FALSE),"")</f>
        <v/>
      </c>
      <c r="E39" s="57"/>
      <c r="F39" s="53"/>
      <c r="G39" s="53"/>
      <c r="H39" s="53"/>
      <c r="I39" s="53"/>
      <c r="J39" s="53"/>
      <c r="K39" s="57"/>
    </row>
    <row r="40" ht="18.75" spans="1:11">
      <c r="A40" s="18" t="str">
        <f>"第"&amp;MID(A21,2,FIND("周",A21)-2)+1&amp;"周"</f>
        <v>第7周</v>
      </c>
      <c r="B40" s="19"/>
      <c r="C40" s="20" t="s">
        <v>0</v>
      </c>
      <c r="D40" s="21"/>
      <c r="E40" s="43" t="s">
        <v>1</v>
      </c>
      <c r="F40" s="43" t="s">
        <v>2</v>
      </c>
      <c r="G40" s="43" t="s">
        <v>3</v>
      </c>
      <c r="H40" s="43" t="s">
        <v>4</v>
      </c>
      <c r="I40" s="43" t="s">
        <v>5</v>
      </c>
      <c r="J40" s="43" t="s">
        <v>6</v>
      </c>
      <c r="K40" s="43" t="s">
        <v>7</v>
      </c>
    </row>
    <row r="41" customHeight="1" spans="1:11">
      <c r="A41" s="22" t="str">
        <f>VLOOKUP(A40,校历!B:F,4,FALSE)</f>
        <v>9.30-10.6</v>
      </c>
      <c r="B41" s="23" t="str">
        <f>"上午"&amp;CHAR(10)&amp;VLOOKUP("上午时间",参数表!A:B,2,FALSE)</f>
        <v>上午
9:55-12:10</v>
      </c>
      <c r="C41" s="24">
        <v>1</v>
      </c>
      <c r="D41" s="25" t="str">
        <f>IFERROR(VLOOKUP(C41,实验列表!A:B,2,FALSE),"")</f>
        <v>光栅光谱实验</v>
      </c>
      <c r="E41" s="45"/>
      <c r="F41" s="44"/>
      <c r="G41" s="44"/>
      <c r="H41" s="44"/>
      <c r="I41" s="44"/>
      <c r="J41" s="44"/>
      <c r="K41" s="48"/>
    </row>
    <row r="42" spans="1:11">
      <c r="A42" s="22"/>
      <c r="B42" s="26"/>
      <c r="C42" s="24">
        <v>2</v>
      </c>
      <c r="D42" s="25" t="str">
        <f>IFERROR(VLOOKUP(C42,实验列表!A:B,2,FALSE),"")</f>
        <v>光电效应普朗克常数</v>
      </c>
      <c r="E42" s="45"/>
      <c r="F42" s="44"/>
      <c r="G42" s="44"/>
      <c r="H42" s="44"/>
      <c r="I42" s="44"/>
      <c r="J42" s="44"/>
      <c r="K42" s="48"/>
    </row>
    <row r="43" spans="1:11">
      <c r="A43" s="22"/>
      <c r="B43" s="26"/>
      <c r="C43" s="24">
        <v>3</v>
      </c>
      <c r="D43" s="25" t="str">
        <f>IFERROR(VLOOKUP(C43,实验列表!A:B,2,FALSE),"")</f>
        <v>光的偏振</v>
      </c>
      <c r="E43" s="45"/>
      <c r="F43" s="44"/>
      <c r="G43" s="44"/>
      <c r="H43" s="44"/>
      <c r="I43" s="44"/>
      <c r="J43" s="44"/>
      <c r="K43" s="48"/>
    </row>
    <row r="44" spans="1:11">
      <c r="A44" s="22"/>
      <c r="B44" s="26"/>
      <c r="C44" s="24">
        <v>4</v>
      </c>
      <c r="D44" s="25" t="str">
        <f>IFERROR(VLOOKUP(C44,实验列表!A:B,2,FALSE),"")</f>
        <v>光的干涉</v>
      </c>
      <c r="E44" s="58"/>
      <c r="F44" s="44"/>
      <c r="G44" s="44"/>
      <c r="H44" s="44"/>
      <c r="I44" s="44"/>
      <c r="J44" s="44"/>
      <c r="K44" s="48"/>
    </row>
    <row r="45" hidden="1" spans="1:11">
      <c r="A45" s="22"/>
      <c r="B45" s="26"/>
      <c r="C45" s="24">
        <v>5</v>
      </c>
      <c r="D45" s="25" t="str">
        <f>IFERROR(VLOOKUP(C45,实验列表!A:B,2,FALSE),"")</f>
        <v/>
      </c>
      <c r="E45" s="46"/>
      <c r="F45" s="44"/>
      <c r="G45" s="44"/>
      <c r="H45" s="44"/>
      <c r="I45" s="44"/>
      <c r="J45" s="44"/>
      <c r="K45" s="48"/>
    </row>
    <row r="46" hidden="1" spans="1:11">
      <c r="A46" s="22"/>
      <c r="B46" s="27"/>
      <c r="C46" s="24">
        <v>6</v>
      </c>
      <c r="D46" s="25" t="str">
        <f>IFERROR(VLOOKUP(C46,实验列表!A:B,2,FALSE),"")</f>
        <v/>
      </c>
      <c r="E46" s="46"/>
      <c r="F46" s="44"/>
      <c r="G46" s="44"/>
      <c r="H46" s="44"/>
      <c r="I46" s="44"/>
      <c r="J46" s="44"/>
      <c r="K46" s="48"/>
    </row>
    <row r="47" customHeight="1" spans="1:11">
      <c r="A47" s="22"/>
      <c r="B47" s="28" t="str">
        <f>"下午"&amp;CHAR(10)&amp;VLOOKUP("下午时间",参数表!A:B,2,FALSE)</f>
        <v>下午
3:15-5:30</v>
      </c>
      <c r="C47" s="29">
        <v>1</v>
      </c>
      <c r="D47" s="30" t="str">
        <f>IFERROR(VLOOKUP(C47,实验列表!A:B,2,FALSE),"")</f>
        <v>光栅光谱实验</v>
      </c>
      <c r="E47" s="55"/>
      <c r="F47" s="44"/>
      <c r="G47" s="44"/>
      <c r="H47" s="44"/>
      <c r="I47" s="44"/>
      <c r="J47" s="44"/>
      <c r="K47" s="48"/>
    </row>
    <row r="48" spans="1:11">
      <c r="A48" s="22"/>
      <c r="B48" s="31"/>
      <c r="C48" s="29">
        <v>2</v>
      </c>
      <c r="D48" s="30" t="str">
        <f>IFERROR(VLOOKUP(C48,实验列表!A:B,2,FALSE),"")</f>
        <v>光电效应普朗克常数</v>
      </c>
      <c r="E48" s="55"/>
      <c r="F48" s="44"/>
      <c r="G48" s="44"/>
      <c r="H48" s="44"/>
      <c r="I48" s="44"/>
      <c r="J48" s="44"/>
      <c r="K48" s="48"/>
    </row>
    <row r="49" spans="1:11">
      <c r="A49" s="22"/>
      <c r="B49" s="31"/>
      <c r="C49" s="29">
        <v>3</v>
      </c>
      <c r="D49" s="30" t="str">
        <f>IFERROR(VLOOKUP(C49,实验列表!A:B,2,FALSE),"")</f>
        <v>光的偏振</v>
      </c>
      <c r="E49" s="55"/>
      <c r="F49" s="44"/>
      <c r="G49" s="44"/>
      <c r="H49" s="44"/>
      <c r="I49" s="44"/>
      <c r="J49" s="44"/>
      <c r="K49" s="48"/>
    </row>
    <row r="50" spans="1:11">
      <c r="A50" s="22"/>
      <c r="B50" s="31"/>
      <c r="C50" s="29">
        <v>4</v>
      </c>
      <c r="D50" s="30" t="str">
        <f>IFERROR(VLOOKUP(C50,实验列表!A:B,2,FALSE),"")</f>
        <v>光的干涉</v>
      </c>
      <c r="E50" s="55" t="s">
        <v>9</v>
      </c>
      <c r="F50" s="44"/>
      <c r="G50" s="44"/>
      <c r="H50" s="44"/>
      <c r="I50" s="44"/>
      <c r="J50" s="44"/>
      <c r="K50" s="48"/>
    </row>
    <row r="51" hidden="1" spans="1:11">
      <c r="A51" s="22"/>
      <c r="B51" s="31"/>
      <c r="C51" s="29">
        <v>5</v>
      </c>
      <c r="D51" s="30" t="str">
        <f>IFERROR(VLOOKUP(C51,实验列表!A:B,2,FALSE),"")</f>
        <v/>
      </c>
      <c r="E51" s="55"/>
      <c r="F51" s="44"/>
      <c r="G51" s="44"/>
      <c r="H51" s="44"/>
      <c r="I51" s="44"/>
      <c r="J51" s="44"/>
      <c r="K51" s="48"/>
    </row>
    <row r="52" hidden="1" spans="1:11">
      <c r="A52" s="22"/>
      <c r="B52" s="32"/>
      <c r="C52" s="29">
        <v>6</v>
      </c>
      <c r="D52" s="30" t="str">
        <f>IFERROR(VLOOKUP(C52,实验列表!A:B,2,FALSE),"")</f>
        <v/>
      </c>
      <c r="E52" s="55"/>
      <c r="F52" s="44"/>
      <c r="G52" s="44"/>
      <c r="H52" s="44"/>
      <c r="I52" s="44"/>
      <c r="J52" s="44"/>
      <c r="K52" s="48"/>
    </row>
    <row r="53" customHeight="1" spans="1:11">
      <c r="A53" s="22"/>
      <c r="B53" s="33" t="str">
        <f>"晚上"&amp;CHAR(10)&amp;VLOOKUP("晚上时间",参数表!A:B,2,FALSE)</f>
        <v>晚上
6:30-8:45</v>
      </c>
      <c r="C53" s="34">
        <v>1</v>
      </c>
      <c r="D53" s="35" t="str">
        <f>IFERROR(VLOOKUP(C53,实验列表!A:B,2,FALSE),"")</f>
        <v>光栅光谱实验</v>
      </c>
      <c r="E53" s="49"/>
      <c r="F53" s="48"/>
      <c r="G53" s="48"/>
      <c r="H53" s="48"/>
      <c r="I53" s="48"/>
      <c r="J53" s="48"/>
      <c r="K53" s="48"/>
    </row>
    <row r="54" spans="1:11">
      <c r="A54" s="22"/>
      <c r="B54" s="41"/>
      <c r="C54" s="34">
        <v>2</v>
      </c>
      <c r="D54" s="35" t="str">
        <f>IFERROR(VLOOKUP(C54,实验列表!A:B,2,FALSE),"")</f>
        <v>光电效应普朗克常数</v>
      </c>
      <c r="E54" s="49"/>
      <c r="F54" s="48"/>
      <c r="G54" s="48"/>
      <c r="H54" s="48"/>
      <c r="I54" s="48"/>
      <c r="J54" s="48"/>
      <c r="K54" s="48"/>
    </row>
    <row r="55" spans="1:11">
      <c r="A55" s="22"/>
      <c r="B55" s="41"/>
      <c r="C55" s="34">
        <v>3</v>
      </c>
      <c r="D55" s="35" t="str">
        <f>IFERROR(VLOOKUP(C55,实验列表!A:B,2,FALSE),"")</f>
        <v>光的偏振</v>
      </c>
      <c r="E55" s="49"/>
      <c r="F55" s="48"/>
      <c r="G55" s="48"/>
      <c r="H55" s="48"/>
      <c r="I55" s="48"/>
      <c r="J55" s="48"/>
      <c r="K55" s="48"/>
    </row>
    <row r="56" ht="18.75" spans="1:11">
      <c r="A56" s="22"/>
      <c r="B56" s="41"/>
      <c r="C56" s="34">
        <v>4</v>
      </c>
      <c r="D56" s="35" t="str">
        <f>IFERROR(VLOOKUP(C56,实验列表!A:B,2,FALSE),"")</f>
        <v>光的干涉</v>
      </c>
      <c r="E56" s="49" t="s">
        <v>9</v>
      </c>
      <c r="F56" s="48"/>
      <c r="G56" s="48"/>
      <c r="H56" s="48"/>
      <c r="I56" s="48"/>
      <c r="J56" s="48"/>
      <c r="K56" s="48"/>
    </row>
    <row r="57" hidden="1" spans="1:11">
      <c r="A57" s="22"/>
      <c r="B57" s="41"/>
      <c r="C57" s="34">
        <v>5</v>
      </c>
      <c r="D57" s="35" t="str">
        <f>IFERROR(VLOOKUP(C57,实验列表!A:B,2,FALSE),"")</f>
        <v/>
      </c>
      <c r="E57" s="49"/>
      <c r="F57" s="48"/>
      <c r="G57" s="48"/>
      <c r="H57" s="48"/>
      <c r="I57" s="48"/>
      <c r="J57" s="48"/>
      <c r="K57" s="48"/>
    </row>
    <row r="58" ht="18.75" hidden="1" spans="1:11">
      <c r="A58" s="37"/>
      <c r="B58" s="42"/>
      <c r="C58" s="39">
        <v>6</v>
      </c>
      <c r="D58" s="40" t="str">
        <f>IFERROR(VLOOKUP(C58,实验列表!A:B,2,FALSE),"")</f>
        <v/>
      </c>
      <c r="E58" s="57"/>
      <c r="F58" s="52"/>
      <c r="G58" s="52"/>
      <c r="H58" s="52"/>
      <c r="I58" s="52"/>
      <c r="J58" s="52"/>
      <c r="K58" s="62"/>
    </row>
    <row r="59" ht="18.75" spans="1:11">
      <c r="A59" s="18" t="str">
        <f>"第"&amp;MID(A40,2,FIND("周",A40)-2)+1&amp;"周"</f>
        <v>第8周</v>
      </c>
      <c r="B59" s="19"/>
      <c r="C59" s="20" t="s">
        <v>0</v>
      </c>
      <c r="D59" s="21"/>
      <c r="E59" s="43" t="s">
        <v>1</v>
      </c>
      <c r="F59" s="43" t="s">
        <v>2</v>
      </c>
      <c r="G59" s="43" t="s">
        <v>3</v>
      </c>
      <c r="H59" s="43" t="s">
        <v>4</v>
      </c>
      <c r="I59" s="43" t="s">
        <v>5</v>
      </c>
      <c r="J59" s="43" t="s">
        <v>6</v>
      </c>
      <c r="K59" s="43" t="s">
        <v>7</v>
      </c>
    </row>
    <row r="60" customHeight="1" spans="1:11">
      <c r="A60" s="22" t="str">
        <f>VLOOKUP(A59,校历!B:F,4,FALSE)</f>
        <v>10.7-10.13</v>
      </c>
      <c r="B60" s="23" t="str">
        <f>"上午"&amp;CHAR(10)&amp;VLOOKUP("上午时间",参数表!A:B,2,FALSE)</f>
        <v>上午
9:55-12:10</v>
      </c>
      <c r="C60" s="24">
        <v>1</v>
      </c>
      <c r="D60" s="25" t="str">
        <f>IFERROR(VLOOKUP(C60,实验列表!A:B,2,FALSE),"")</f>
        <v>光栅光谱实验</v>
      </c>
      <c r="E60" s="44"/>
      <c r="F60" s="44"/>
      <c r="G60" s="45"/>
      <c r="H60" s="46" t="s">
        <v>8</v>
      </c>
      <c r="I60" s="46" t="s">
        <v>8</v>
      </c>
      <c r="J60" s="46"/>
      <c r="K60" s="61"/>
    </row>
    <row r="61" spans="1:11">
      <c r="A61" s="22"/>
      <c r="B61" s="26"/>
      <c r="C61" s="24">
        <v>2</v>
      </c>
      <c r="D61" s="25" t="str">
        <f>IFERROR(VLOOKUP(C61,实验列表!A:B,2,FALSE),"")</f>
        <v>光电效应普朗克常数</v>
      </c>
      <c r="E61" s="44"/>
      <c r="F61" s="44"/>
      <c r="G61" s="45"/>
      <c r="H61" s="46"/>
      <c r="I61" s="46"/>
      <c r="J61" s="46" t="s">
        <v>11</v>
      </c>
      <c r="K61" s="61" t="s">
        <v>9</v>
      </c>
    </row>
    <row r="62" spans="1:11">
      <c r="A62" s="22"/>
      <c r="B62" s="26"/>
      <c r="C62" s="24">
        <v>3</v>
      </c>
      <c r="D62" s="25" t="str">
        <f>IFERROR(VLOOKUP(C62,实验列表!A:B,2,FALSE),"")</f>
        <v>光的偏振</v>
      </c>
      <c r="E62" s="44"/>
      <c r="F62" s="44"/>
      <c r="G62" s="45"/>
      <c r="H62" s="46"/>
      <c r="I62" s="46"/>
      <c r="J62" s="46"/>
      <c r="K62" s="61"/>
    </row>
    <row r="63" spans="1:11">
      <c r="A63" s="22"/>
      <c r="B63" s="26"/>
      <c r="C63" s="24">
        <v>4</v>
      </c>
      <c r="D63" s="25" t="str">
        <f>IFERROR(VLOOKUP(C63,实验列表!A:B,2,FALSE),"")</f>
        <v>光的干涉</v>
      </c>
      <c r="E63" s="44"/>
      <c r="F63" s="44"/>
      <c r="G63" s="45"/>
      <c r="H63" s="46" t="s">
        <v>10</v>
      </c>
      <c r="I63" s="46" t="s">
        <v>9</v>
      </c>
      <c r="J63" s="46" t="s">
        <v>10</v>
      </c>
      <c r="K63" s="61" t="s">
        <v>10</v>
      </c>
    </row>
    <row r="64" hidden="1" spans="1:11">
      <c r="A64" s="22"/>
      <c r="B64" s="26"/>
      <c r="C64" s="24">
        <v>5</v>
      </c>
      <c r="D64" s="25" t="str">
        <f>IFERROR(VLOOKUP(C64,实验列表!A:B,2,FALSE),"")</f>
        <v/>
      </c>
      <c r="E64" s="44"/>
      <c r="F64" s="44"/>
      <c r="G64" s="46"/>
      <c r="H64" s="46"/>
      <c r="I64" s="46"/>
      <c r="J64" s="46"/>
      <c r="K64" s="61"/>
    </row>
    <row r="65" hidden="1" spans="1:11">
      <c r="A65" s="22"/>
      <c r="B65" s="27"/>
      <c r="C65" s="24">
        <v>6</v>
      </c>
      <c r="D65" s="25" t="str">
        <f>IFERROR(VLOOKUP(C65,实验列表!A:B,2,FALSE),"")</f>
        <v/>
      </c>
      <c r="E65" s="44"/>
      <c r="F65" s="44"/>
      <c r="G65" s="46"/>
      <c r="H65" s="46"/>
      <c r="I65" s="46"/>
      <c r="J65" s="46"/>
      <c r="K65" s="61"/>
    </row>
    <row r="66" customHeight="1" spans="1:11">
      <c r="A66" s="22"/>
      <c r="B66" s="28" t="str">
        <f>"下午"&amp;CHAR(10)&amp;VLOOKUP("下午时间",参数表!A:B,2,FALSE)</f>
        <v>下午
3:15-5:30</v>
      </c>
      <c r="C66" s="29">
        <v>1</v>
      </c>
      <c r="D66" s="30" t="str">
        <f>IFERROR(VLOOKUP(C66,实验列表!A:B,2,FALSE),"")</f>
        <v>光栅光谱实验</v>
      </c>
      <c r="E66" s="48"/>
      <c r="F66" s="44"/>
      <c r="G66" s="45"/>
      <c r="H66" s="47" t="s">
        <v>8</v>
      </c>
      <c r="I66" s="47" t="s">
        <v>8</v>
      </c>
      <c r="J66" s="47"/>
      <c r="K66" s="55"/>
    </row>
    <row r="67" spans="1:11">
      <c r="A67" s="22"/>
      <c r="B67" s="31"/>
      <c r="C67" s="29">
        <v>2</v>
      </c>
      <c r="D67" s="30" t="str">
        <f>IFERROR(VLOOKUP(C67,实验列表!A:B,2,FALSE),"")</f>
        <v>光电效应普朗克常数</v>
      </c>
      <c r="E67" s="48"/>
      <c r="F67" s="44"/>
      <c r="G67" s="45"/>
      <c r="H67" s="47"/>
      <c r="I67" s="47"/>
      <c r="J67" s="47" t="s">
        <v>11</v>
      </c>
      <c r="K67" s="55" t="s">
        <v>9</v>
      </c>
    </row>
    <row r="68" spans="1:11">
      <c r="A68" s="22"/>
      <c r="B68" s="31"/>
      <c r="C68" s="29">
        <v>3</v>
      </c>
      <c r="D68" s="30" t="str">
        <f>IFERROR(VLOOKUP(C68,实验列表!A:B,2,FALSE),"")</f>
        <v>光的偏振</v>
      </c>
      <c r="E68" s="48"/>
      <c r="F68" s="44"/>
      <c r="G68" s="45"/>
      <c r="H68" s="47"/>
      <c r="I68" s="47"/>
      <c r="J68" s="47"/>
      <c r="K68" s="55"/>
    </row>
    <row r="69" spans="1:11">
      <c r="A69" s="22"/>
      <c r="B69" s="31"/>
      <c r="C69" s="29">
        <v>4</v>
      </c>
      <c r="D69" s="30" t="str">
        <f>IFERROR(VLOOKUP(C69,实验列表!A:B,2,FALSE),"")</f>
        <v>光的干涉</v>
      </c>
      <c r="E69" s="48"/>
      <c r="F69" s="44"/>
      <c r="G69" s="45"/>
      <c r="H69" s="47" t="s">
        <v>10</v>
      </c>
      <c r="I69" s="47" t="s">
        <v>9</v>
      </c>
      <c r="J69" s="47" t="s">
        <v>10</v>
      </c>
      <c r="K69" s="55" t="s">
        <v>10</v>
      </c>
    </row>
    <row r="70" hidden="1" spans="1:11">
      <c r="A70" s="22"/>
      <c r="B70" s="31"/>
      <c r="C70" s="29">
        <v>5</v>
      </c>
      <c r="D70" s="30" t="str">
        <f>IFERROR(VLOOKUP(C70,实验列表!A:B,2,FALSE),"")</f>
        <v/>
      </c>
      <c r="E70" s="48"/>
      <c r="F70" s="44"/>
      <c r="G70" s="47"/>
      <c r="H70" s="47"/>
      <c r="I70" s="47"/>
      <c r="J70" s="47"/>
      <c r="K70" s="55"/>
    </row>
    <row r="71" hidden="1" spans="1:11">
      <c r="A71" s="22"/>
      <c r="B71" s="32"/>
      <c r="C71" s="29">
        <v>6</v>
      </c>
      <c r="D71" s="30" t="str">
        <f>IFERROR(VLOOKUP(C71,实验列表!A:B,2,FALSE),"")</f>
        <v/>
      </c>
      <c r="E71" s="48"/>
      <c r="F71" s="44"/>
      <c r="G71" s="47"/>
      <c r="H71" s="47"/>
      <c r="I71" s="47"/>
      <c r="J71" s="47"/>
      <c r="K71" s="55"/>
    </row>
    <row r="72" customHeight="1" spans="1:11">
      <c r="A72" s="22"/>
      <c r="B72" s="33" t="str">
        <f>"晚上"&amp;CHAR(10)&amp;VLOOKUP("晚上时间",参数表!A:B,2,FALSE)</f>
        <v>晚上
6:30-8:45</v>
      </c>
      <c r="C72" s="34">
        <v>1</v>
      </c>
      <c r="D72" s="35" t="str">
        <f>IFERROR(VLOOKUP(C72,实验列表!A:B,2,FALSE),"")</f>
        <v>光栅光谱实验</v>
      </c>
      <c r="E72" s="48"/>
      <c r="F72" s="48"/>
      <c r="G72" s="49" t="s">
        <v>8</v>
      </c>
      <c r="H72" s="49" t="s">
        <v>8</v>
      </c>
      <c r="I72" s="49" t="s">
        <v>8</v>
      </c>
      <c r="J72" s="49"/>
      <c r="K72" s="49"/>
    </row>
    <row r="73" spans="1:11">
      <c r="A73" s="22"/>
      <c r="B73" s="41"/>
      <c r="C73" s="34">
        <v>2</v>
      </c>
      <c r="D73" s="35" t="str">
        <f>IFERROR(VLOOKUP(C73,实验列表!A:B,2,FALSE),"")</f>
        <v>光电效应普朗克常数</v>
      </c>
      <c r="E73" s="48"/>
      <c r="F73" s="48"/>
      <c r="G73" s="49"/>
      <c r="H73" s="49"/>
      <c r="I73" s="49"/>
      <c r="J73" s="49" t="s">
        <v>11</v>
      </c>
      <c r="K73" s="49" t="s">
        <v>9</v>
      </c>
    </row>
    <row r="74" spans="1:11">
      <c r="A74" s="22"/>
      <c r="B74" s="41"/>
      <c r="C74" s="34">
        <v>3</v>
      </c>
      <c r="D74" s="35" t="str">
        <f>IFERROR(VLOOKUP(C74,实验列表!A:B,2,FALSE),"")</f>
        <v>光的偏振</v>
      </c>
      <c r="E74" s="48"/>
      <c r="F74" s="48"/>
      <c r="G74" s="49"/>
      <c r="H74" s="49"/>
      <c r="I74" s="49"/>
      <c r="J74" s="49"/>
      <c r="K74" s="49"/>
    </row>
    <row r="75" ht="18.75" spans="1:11">
      <c r="A75" s="22"/>
      <c r="B75" s="41"/>
      <c r="C75" s="34">
        <v>4</v>
      </c>
      <c r="D75" s="35" t="str">
        <f>IFERROR(VLOOKUP(C75,实验列表!A:B,2,FALSE),"")</f>
        <v>光的干涉</v>
      </c>
      <c r="E75" s="48"/>
      <c r="F75" s="48"/>
      <c r="G75" s="49"/>
      <c r="H75" s="49" t="s">
        <v>10</v>
      </c>
      <c r="I75" s="49" t="s">
        <v>9</v>
      </c>
      <c r="J75" s="49" t="s">
        <v>10</v>
      </c>
      <c r="K75" s="49" t="s">
        <v>10</v>
      </c>
    </row>
    <row r="76" hidden="1" spans="1:11">
      <c r="A76" s="22"/>
      <c r="B76" s="41"/>
      <c r="C76" s="34">
        <v>5</v>
      </c>
      <c r="D76" s="35" t="str">
        <f>IFERROR(VLOOKUP(C76,实验列表!A:B,2,FALSE),"")</f>
        <v/>
      </c>
      <c r="E76" s="48"/>
      <c r="F76" s="48"/>
      <c r="G76" s="49"/>
      <c r="H76" s="49"/>
      <c r="I76" s="49"/>
      <c r="J76" s="49"/>
      <c r="K76" s="49"/>
    </row>
    <row r="77" ht="18.75" hidden="1" spans="1:11">
      <c r="A77" s="37"/>
      <c r="B77" s="42"/>
      <c r="C77" s="39">
        <v>6</v>
      </c>
      <c r="D77" s="40" t="str">
        <f>IFERROR(VLOOKUP(C77,实验列表!A:B,2,FALSE),"")</f>
        <v/>
      </c>
      <c r="E77" s="62"/>
      <c r="F77" s="52"/>
      <c r="G77" s="53"/>
      <c r="H77" s="53"/>
      <c r="I77" s="53"/>
      <c r="J77" s="53"/>
      <c r="K77" s="57"/>
    </row>
    <row r="78" ht="18.75" spans="1:11">
      <c r="A78" s="18" t="str">
        <f>"第"&amp;MID(A59,2,FIND("周",A59)-2)+1&amp;"周"</f>
        <v>第9周</v>
      </c>
      <c r="B78" s="19"/>
      <c r="C78" s="20" t="s">
        <v>0</v>
      </c>
      <c r="D78" s="21"/>
      <c r="E78" s="43" t="s">
        <v>1</v>
      </c>
      <c r="F78" s="43" t="s">
        <v>2</v>
      </c>
      <c r="G78" s="43" t="s">
        <v>3</v>
      </c>
      <c r="H78" s="43" t="s">
        <v>4</v>
      </c>
      <c r="I78" s="43" t="s">
        <v>5</v>
      </c>
      <c r="J78" s="43" t="s">
        <v>6</v>
      </c>
      <c r="K78" s="43" t="s">
        <v>7</v>
      </c>
    </row>
    <row r="79" customHeight="1" spans="1:11">
      <c r="A79" s="22" t="str">
        <f>VLOOKUP(A78,校历!B:F,4,FALSE)</f>
        <v>10.14-10.20</v>
      </c>
      <c r="B79" s="23" t="str">
        <f>"上午"&amp;CHAR(10)&amp;VLOOKUP("上午时间",参数表!A:B,2,FALSE)</f>
        <v>上午
9:55-12:10</v>
      </c>
      <c r="C79" s="24">
        <v>1</v>
      </c>
      <c r="D79" s="25" t="str">
        <f>IFERROR(VLOOKUP(C79,实验列表!A:B,2,FALSE),"")</f>
        <v>光栅光谱实验</v>
      </c>
      <c r="E79" s="45"/>
      <c r="F79" s="46"/>
      <c r="G79" s="45"/>
      <c r="H79" s="46" t="s">
        <v>8</v>
      </c>
      <c r="I79" s="46"/>
      <c r="J79" s="46"/>
      <c r="K79" s="61"/>
    </row>
    <row r="80" spans="1:11">
      <c r="A80" s="22"/>
      <c r="B80" s="26"/>
      <c r="C80" s="24">
        <v>2</v>
      </c>
      <c r="D80" s="25" t="str">
        <f>IFERROR(VLOOKUP(C80,实验列表!A:B,2,FALSE),"")</f>
        <v>光电效应普朗克常数</v>
      </c>
      <c r="E80" s="45"/>
      <c r="F80" s="46" t="s">
        <v>11</v>
      </c>
      <c r="G80" s="45"/>
      <c r="H80" s="46"/>
      <c r="I80" s="46" t="s">
        <v>8</v>
      </c>
      <c r="J80" s="46" t="s">
        <v>11</v>
      </c>
      <c r="K80" s="61" t="s">
        <v>9</v>
      </c>
    </row>
    <row r="81" spans="1:11">
      <c r="A81" s="22"/>
      <c r="B81" s="26"/>
      <c r="C81" s="24">
        <v>3</v>
      </c>
      <c r="D81" s="25" t="str">
        <f>IFERROR(VLOOKUP(C81,实验列表!A:B,2,FALSE),"")</f>
        <v>光的偏振</v>
      </c>
      <c r="E81" s="45"/>
      <c r="F81" s="46"/>
      <c r="G81" s="45"/>
      <c r="H81" s="46"/>
      <c r="I81" s="46"/>
      <c r="J81" s="46"/>
      <c r="K81" s="61"/>
    </row>
    <row r="82" spans="1:11">
      <c r="A82" s="22"/>
      <c r="B82" s="26"/>
      <c r="C82" s="24">
        <v>4</v>
      </c>
      <c r="D82" s="25" t="str">
        <f>IFERROR(VLOOKUP(C82,实验列表!A:B,2,FALSE),"")</f>
        <v>光的干涉</v>
      </c>
      <c r="E82" s="54" t="s">
        <v>12</v>
      </c>
      <c r="F82" s="46"/>
      <c r="G82" s="45"/>
      <c r="H82" s="46" t="s">
        <v>10</v>
      </c>
      <c r="I82" s="46" t="s">
        <v>9</v>
      </c>
      <c r="J82" s="46" t="s">
        <v>10</v>
      </c>
      <c r="K82" s="61" t="s">
        <v>10</v>
      </c>
    </row>
    <row r="83" hidden="1" spans="1:11">
      <c r="A83" s="22"/>
      <c r="B83" s="26"/>
      <c r="C83" s="24">
        <v>5</v>
      </c>
      <c r="D83" s="25" t="str">
        <f>IFERROR(VLOOKUP(C83,实验列表!A:B,2,FALSE),"")</f>
        <v/>
      </c>
      <c r="E83" s="46"/>
      <c r="F83" s="46"/>
      <c r="G83" s="46"/>
      <c r="H83" s="46"/>
      <c r="I83" s="46"/>
      <c r="J83" s="46"/>
      <c r="K83" s="61"/>
    </row>
    <row r="84" hidden="1" spans="1:11">
      <c r="A84" s="22"/>
      <c r="B84" s="27"/>
      <c r="C84" s="24">
        <v>6</v>
      </c>
      <c r="D84" s="25" t="str">
        <f>IFERROR(VLOOKUP(C84,实验列表!A:B,2,FALSE),"")</f>
        <v/>
      </c>
      <c r="E84" s="46"/>
      <c r="F84" s="46"/>
      <c r="G84" s="46"/>
      <c r="H84" s="46"/>
      <c r="I84" s="46"/>
      <c r="J84" s="46"/>
      <c r="K84" s="61"/>
    </row>
    <row r="85" customHeight="1" spans="1:11">
      <c r="A85" s="22"/>
      <c r="B85" s="28" t="str">
        <f>"下午"&amp;CHAR(10)&amp;VLOOKUP("下午时间",参数表!A:B,2,FALSE)</f>
        <v>下午
3:15-5:30</v>
      </c>
      <c r="C85" s="29">
        <v>1</v>
      </c>
      <c r="D85" s="30" t="str">
        <f>IFERROR(VLOOKUP(C85,实验列表!A:B,2,FALSE),"")</f>
        <v>光栅光谱实验</v>
      </c>
      <c r="E85" s="56" t="s">
        <v>14</v>
      </c>
      <c r="F85" s="56" t="s">
        <v>14</v>
      </c>
      <c r="G85" s="45"/>
      <c r="H85" s="47" t="s">
        <v>8</v>
      </c>
      <c r="I85" s="56" t="s">
        <v>14</v>
      </c>
      <c r="J85" s="56" t="s">
        <v>14</v>
      </c>
      <c r="K85" s="55"/>
    </row>
    <row r="86" spans="1:11">
      <c r="A86" s="22"/>
      <c r="B86" s="31"/>
      <c r="C86" s="29">
        <v>2</v>
      </c>
      <c r="D86" s="30" t="str">
        <f>IFERROR(VLOOKUP(C86,实验列表!A:B,2,FALSE),"")</f>
        <v>光电效应普朗克常数</v>
      </c>
      <c r="E86" s="55"/>
      <c r="F86" s="47"/>
      <c r="G86" s="45"/>
      <c r="H86" s="47"/>
      <c r="I86" s="47" t="s">
        <v>8</v>
      </c>
      <c r="J86" s="47" t="s">
        <v>11</v>
      </c>
      <c r="K86" s="55" t="s">
        <v>9</v>
      </c>
    </row>
    <row r="87" spans="1:11">
      <c r="A87" s="22"/>
      <c r="B87" s="31"/>
      <c r="C87" s="29">
        <v>3</v>
      </c>
      <c r="D87" s="30" t="str">
        <f>IFERROR(VLOOKUP(C87,实验列表!A:B,2,FALSE),"")</f>
        <v>光的偏振</v>
      </c>
      <c r="E87" s="55"/>
      <c r="F87" s="47"/>
      <c r="G87" s="45"/>
      <c r="H87" s="47"/>
      <c r="I87" s="47"/>
      <c r="J87" s="47"/>
      <c r="K87" s="55"/>
    </row>
    <row r="88" spans="1:11">
      <c r="A88" s="22"/>
      <c r="B88" s="31"/>
      <c r="C88" s="29">
        <v>4</v>
      </c>
      <c r="D88" s="30" t="str">
        <f>IFERROR(VLOOKUP(C88,实验列表!A:B,2,FALSE),"")</f>
        <v>光的干涉</v>
      </c>
      <c r="E88" s="55" t="s">
        <v>9</v>
      </c>
      <c r="F88" s="47"/>
      <c r="G88" s="45"/>
      <c r="H88" s="47" t="s">
        <v>10</v>
      </c>
      <c r="I88" s="47" t="s">
        <v>9</v>
      </c>
      <c r="J88" s="47" t="s">
        <v>10</v>
      </c>
      <c r="K88" s="55" t="s">
        <v>10</v>
      </c>
    </row>
    <row r="89" hidden="1" spans="1:11">
      <c r="A89" s="22"/>
      <c r="B89" s="31"/>
      <c r="C89" s="29">
        <v>5</v>
      </c>
      <c r="D89" s="30" t="str">
        <f>IFERROR(VLOOKUP(C89,实验列表!A:B,2,FALSE),"")</f>
        <v/>
      </c>
      <c r="E89" s="55"/>
      <c r="F89" s="47"/>
      <c r="G89" s="47"/>
      <c r="H89" s="47"/>
      <c r="I89" s="47"/>
      <c r="J89" s="47"/>
      <c r="K89" s="55"/>
    </row>
    <row r="90" hidden="1" spans="1:11">
      <c r="A90" s="22"/>
      <c r="B90" s="32"/>
      <c r="C90" s="29">
        <v>6</v>
      </c>
      <c r="D90" s="30" t="str">
        <f>IFERROR(VLOOKUP(C90,实验列表!A:B,2,FALSE),"")</f>
        <v/>
      </c>
      <c r="E90" s="55"/>
      <c r="F90" s="47"/>
      <c r="G90" s="47"/>
      <c r="H90" s="47"/>
      <c r="I90" s="47"/>
      <c r="J90" s="47"/>
      <c r="K90" s="55"/>
    </row>
    <row r="91" customHeight="1" spans="1:11">
      <c r="A91" s="22"/>
      <c r="B91" s="33" t="str">
        <f>"晚上"&amp;CHAR(10)&amp;VLOOKUP("晚上时间",参数表!A:B,2,FALSE)</f>
        <v>晚上
6:30-8:45</v>
      </c>
      <c r="C91" s="34">
        <v>1</v>
      </c>
      <c r="D91" s="35" t="str">
        <f>IFERROR(VLOOKUP(C91,实验列表!A:B,2,FALSE),"")</f>
        <v>光栅光谱实验</v>
      </c>
      <c r="E91" s="49"/>
      <c r="F91" s="49"/>
      <c r="G91" s="49"/>
      <c r="H91" s="49"/>
      <c r="I91" s="49"/>
      <c r="J91" s="49"/>
      <c r="K91" s="49" t="s">
        <v>10</v>
      </c>
    </row>
    <row r="92" spans="1:11">
      <c r="A92" s="22"/>
      <c r="B92" s="41"/>
      <c r="C92" s="34">
        <v>2</v>
      </c>
      <c r="D92" s="35" t="str">
        <f>IFERROR(VLOOKUP(C92,实验列表!A:B,2,FALSE),"")</f>
        <v>光电效应普朗克常数</v>
      </c>
      <c r="E92" s="49"/>
      <c r="F92" s="49"/>
      <c r="G92" s="49"/>
      <c r="H92" s="49"/>
      <c r="I92" s="49" t="s">
        <v>8</v>
      </c>
      <c r="J92" s="49" t="s">
        <v>11</v>
      </c>
      <c r="K92" s="49" t="s">
        <v>9</v>
      </c>
    </row>
    <row r="93" spans="1:11">
      <c r="A93" s="22"/>
      <c r="B93" s="41"/>
      <c r="C93" s="34">
        <v>3</v>
      </c>
      <c r="D93" s="35" t="str">
        <f>IFERROR(VLOOKUP(C93,实验列表!A:B,2,FALSE),"")</f>
        <v>光的偏振</v>
      </c>
      <c r="E93" s="49"/>
      <c r="F93" s="49"/>
      <c r="G93" s="49"/>
      <c r="H93" s="49"/>
      <c r="I93" s="49"/>
      <c r="J93" s="49"/>
      <c r="K93" s="49"/>
    </row>
    <row r="94" ht="18.75" spans="1:11">
      <c r="A94" s="22"/>
      <c r="B94" s="41"/>
      <c r="C94" s="34">
        <v>4</v>
      </c>
      <c r="D94" s="35" t="str">
        <f>IFERROR(VLOOKUP(C94,实验列表!A:B,2,FALSE),"")</f>
        <v>光的干涉</v>
      </c>
      <c r="E94" s="49" t="s">
        <v>9</v>
      </c>
      <c r="F94" s="49"/>
      <c r="G94" s="49"/>
      <c r="H94" s="49" t="s">
        <v>10</v>
      </c>
      <c r="I94" s="49" t="s">
        <v>9</v>
      </c>
      <c r="J94" s="49" t="s">
        <v>10</v>
      </c>
      <c r="K94" s="49"/>
    </row>
    <row r="95" hidden="1" spans="1:11">
      <c r="A95" s="22"/>
      <c r="B95" s="41"/>
      <c r="C95" s="34">
        <v>5</v>
      </c>
      <c r="D95" s="35" t="str">
        <f>IFERROR(VLOOKUP(C95,实验列表!A:B,2,FALSE),"")</f>
        <v/>
      </c>
      <c r="E95" s="49"/>
      <c r="F95" s="49"/>
      <c r="G95" s="49"/>
      <c r="H95" s="49"/>
      <c r="I95" s="49"/>
      <c r="J95" s="49"/>
      <c r="K95" s="49"/>
    </row>
    <row r="96" ht="18.75" hidden="1" spans="1:11">
      <c r="A96" s="37"/>
      <c r="B96" s="42"/>
      <c r="C96" s="39">
        <v>6</v>
      </c>
      <c r="D96" s="40" t="str">
        <f>IFERROR(VLOOKUP(C96,实验列表!A:B,2,FALSE),"")</f>
        <v/>
      </c>
      <c r="E96" s="57"/>
      <c r="F96" s="53"/>
      <c r="G96" s="53"/>
      <c r="H96" s="53"/>
      <c r="I96" s="53"/>
      <c r="J96" s="53"/>
      <c r="K96" s="57"/>
    </row>
    <row r="97" ht="18.75" spans="1:11">
      <c r="A97" s="18" t="str">
        <f>"第"&amp;MID(A78,2,FIND("周",A78)-2)+1&amp;"周"</f>
        <v>第10周</v>
      </c>
      <c r="B97" s="19"/>
      <c r="C97" s="20" t="s">
        <v>0</v>
      </c>
      <c r="D97" s="21"/>
      <c r="E97" s="43" t="s">
        <v>1</v>
      </c>
      <c r="F97" s="43" t="s">
        <v>2</v>
      </c>
      <c r="G97" s="43" t="s">
        <v>3</v>
      </c>
      <c r="H97" s="43" t="s">
        <v>4</v>
      </c>
      <c r="I97" s="43" t="s">
        <v>5</v>
      </c>
      <c r="J97" s="43" t="s">
        <v>6</v>
      </c>
      <c r="K97" s="43" t="s">
        <v>7</v>
      </c>
    </row>
    <row r="98" customHeight="1" spans="1:11">
      <c r="A98" s="22" t="str">
        <f>VLOOKUP(A97,校历!B:F,4,FALSE)</f>
        <v>10.21-10.27</v>
      </c>
      <c r="B98" s="23" t="str">
        <f>"上午"&amp;CHAR(10)&amp;VLOOKUP("上午时间",参数表!A:B,2,FALSE)</f>
        <v>上午
9:55-12:10</v>
      </c>
      <c r="C98" s="24">
        <v>1</v>
      </c>
      <c r="D98" s="25" t="str">
        <f>IFERROR(VLOOKUP(C98,实验列表!A:B,2,FALSE),"")</f>
        <v>光栅光谱实验</v>
      </c>
      <c r="E98" s="45"/>
      <c r="F98" s="46"/>
      <c r="G98" s="45"/>
      <c r="H98" s="46" t="s">
        <v>10</v>
      </c>
      <c r="I98" s="46"/>
      <c r="J98" s="46" t="s">
        <v>10</v>
      </c>
      <c r="K98" s="61" t="s">
        <v>10</v>
      </c>
    </row>
    <row r="99" spans="1:11">
      <c r="A99" s="22"/>
      <c r="B99" s="26"/>
      <c r="C99" s="24">
        <v>2</v>
      </c>
      <c r="D99" s="25" t="str">
        <f>IFERROR(VLOOKUP(C99,实验列表!A:B,2,FALSE),"")</f>
        <v>光电效应普朗克常数</v>
      </c>
      <c r="E99" s="45"/>
      <c r="F99" s="46" t="s">
        <v>11</v>
      </c>
      <c r="G99" s="45"/>
      <c r="H99" s="46" t="s">
        <v>8</v>
      </c>
      <c r="I99" s="46" t="s">
        <v>8</v>
      </c>
      <c r="J99" s="46" t="s">
        <v>11</v>
      </c>
      <c r="K99" s="61"/>
    </row>
    <row r="100" spans="1:11">
      <c r="A100" s="22"/>
      <c r="B100" s="26"/>
      <c r="C100" s="24">
        <v>3</v>
      </c>
      <c r="D100" s="25" t="str">
        <f>IFERROR(VLOOKUP(C100,实验列表!A:B,2,FALSE),"")</f>
        <v>光的偏振</v>
      </c>
      <c r="E100" s="45"/>
      <c r="F100" s="46" t="s">
        <v>15</v>
      </c>
      <c r="G100" s="45"/>
      <c r="H100" s="46" t="s">
        <v>15</v>
      </c>
      <c r="I100" s="46" t="s">
        <v>15</v>
      </c>
      <c r="J100" s="46" t="s">
        <v>16</v>
      </c>
      <c r="K100" s="61" t="s">
        <v>16</v>
      </c>
    </row>
    <row r="101" spans="1:11">
      <c r="A101" s="22"/>
      <c r="B101" s="26"/>
      <c r="C101" s="24">
        <v>4</v>
      </c>
      <c r="D101" s="25" t="str">
        <f>IFERROR(VLOOKUP(C101,实验列表!A:B,2,FALSE),"")</f>
        <v>光的干涉</v>
      </c>
      <c r="E101" s="58"/>
      <c r="F101" s="46"/>
      <c r="G101" s="58"/>
      <c r="H101" s="46"/>
      <c r="I101" s="46" t="s">
        <v>9</v>
      </c>
      <c r="J101" s="46"/>
      <c r="K101" s="61" t="s">
        <v>9</v>
      </c>
    </row>
    <row r="102" hidden="1" spans="1:11">
      <c r="A102" s="22"/>
      <c r="B102" s="26"/>
      <c r="C102" s="24">
        <v>5</v>
      </c>
      <c r="D102" s="25" t="str">
        <f>IFERROR(VLOOKUP(C102,实验列表!A:B,2,FALSE),"")</f>
        <v/>
      </c>
      <c r="E102" s="46"/>
      <c r="F102" s="46"/>
      <c r="G102" s="46"/>
      <c r="H102" s="46"/>
      <c r="I102" s="46"/>
      <c r="J102" s="46"/>
      <c r="K102" s="61"/>
    </row>
    <row r="103" hidden="1" spans="1:11">
      <c r="A103" s="22"/>
      <c r="B103" s="27"/>
      <c r="C103" s="24">
        <v>6</v>
      </c>
      <c r="D103" s="25" t="str">
        <f>IFERROR(VLOOKUP(C103,实验列表!A:B,2,FALSE),"")</f>
        <v/>
      </c>
      <c r="E103" s="46"/>
      <c r="F103" s="46"/>
      <c r="G103" s="46"/>
      <c r="H103" s="46"/>
      <c r="I103" s="46"/>
      <c r="J103" s="46"/>
      <c r="K103" s="61"/>
    </row>
    <row r="104" customHeight="1" spans="1:11">
      <c r="A104" s="22"/>
      <c r="B104" s="28" t="str">
        <f>"下午"&amp;CHAR(10)&amp;VLOOKUP("下午时间",参数表!A:B,2,FALSE)</f>
        <v>下午
3:15-5:30</v>
      </c>
      <c r="C104" s="29">
        <v>1</v>
      </c>
      <c r="D104" s="30" t="str">
        <f>IFERROR(VLOOKUP(C104,实验列表!A:B,2,FALSE),"")</f>
        <v>光栅光谱实验</v>
      </c>
      <c r="E104" s="55"/>
      <c r="F104" s="47"/>
      <c r="G104" s="45"/>
      <c r="H104" s="47" t="s">
        <v>10</v>
      </c>
      <c r="I104" s="47"/>
      <c r="J104" s="47" t="s">
        <v>10</v>
      </c>
      <c r="K104" s="55" t="s">
        <v>10</v>
      </c>
    </row>
    <row r="105" spans="1:11">
      <c r="A105" s="22"/>
      <c r="B105" s="31"/>
      <c r="C105" s="29">
        <v>2</v>
      </c>
      <c r="D105" s="30" t="str">
        <f>IFERROR(VLOOKUP(C105,实验列表!A:B,2,FALSE),"")</f>
        <v>光电效应普朗克常数</v>
      </c>
      <c r="E105" s="55"/>
      <c r="F105" s="47"/>
      <c r="G105" s="45"/>
      <c r="H105" s="47" t="s">
        <v>8</v>
      </c>
      <c r="I105" s="47" t="s">
        <v>8</v>
      </c>
      <c r="J105" s="47" t="s">
        <v>11</v>
      </c>
      <c r="K105" s="55"/>
    </row>
    <row r="106" spans="1:11">
      <c r="A106" s="22"/>
      <c r="B106" s="31"/>
      <c r="C106" s="29">
        <v>3</v>
      </c>
      <c r="D106" s="30" t="str">
        <f>IFERROR(VLOOKUP(C106,实验列表!A:B,2,FALSE),"")</f>
        <v>光的偏振</v>
      </c>
      <c r="E106" s="55"/>
      <c r="F106" s="47" t="s">
        <v>15</v>
      </c>
      <c r="G106" s="45"/>
      <c r="H106" s="47" t="s">
        <v>15</v>
      </c>
      <c r="I106" s="47" t="s">
        <v>15</v>
      </c>
      <c r="J106" s="47" t="s">
        <v>16</v>
      </c>
      <c r="K106" s="55" t="s">
        <v>16</v>
      </c>
    </row>
    <row r="107" spans="1:11">
      <c r="A107" s="22"/>
      <c r="B107" s="31"/>
      <c r="C107" s="29">
        <v>4</v>
      </c>
      <c r="D107" s="30" t="str">
        <f>IFERROR(VLOOKUP(C107,实验列表!A:B,2,FALSE),"")</f>
        <v>光的干涉</v>
      </c>
      <c r="E107" s="55" t="s">
        <v>9</v>
      </c>
      <c r="F107" s="47"/>
      <c r="G107" s="45"/>
      <c r="H107" s="47"/>
      <c r="I107" s="47" t="s">
        <v>9</v>
      </c>
      <c r="J107" s="47"/>
      <c r="K107" s="55" t="s">
        <v>9</v>
      </c>
    </row>
    <row r="108" hidden="1" spans="1:11">
      <c r="A108" s="22"/>
      <c r="B108" s="31"/>
      <c r="C108" s="29">
        <v>5</v>
      </c>
      <c r="D108" s="30" t="str">
        <f>IFERROR(VLOOKUP(C108,实验列表!A:B,2,FALSE),"")</f>
        <v/>
      </c>
      <c r="E108" s="55"/>
      <c r="F108" s="47"/>
      <c r="G108" s="47"/>
      <c r="H108" s="47"/>
      <c r="I108" s="47"/>
      <c r="J108" s="47"/>
      <c r="K108" s="55"/>
    </row>
    <row r="109" hidden="1" spans="1:11">
      <c r="A109" s="22"/>
      <c r="B109" s="32"/>
      <c r="C109" s="29">
        <v>6</v>
      </c>
      <c r="D109" s="30" t="str">
        <f>IFERROR(VLOOKUP(C109,实验列表!A:B,2,FALSE),"")</f>
        <v/>
      </c>
      <c r="E109" s="55"/>
      <c r="F109" s="47"/>
      <c r="G109" s="47"/>
      <c r="H109" s="47"/>
      <c r="I109" s="47"/>
      <c r="J109" s="47"/>
      <c r="K109" s="55"/>
    </row>
    <row r="110" customHeight="1" spans="1:11">
      <c r="A110" s="22"/>
      <c r="B110" s="33" t="str">
        <f>"晚上"&amp;CHAR(10)&amp;VLOOKUP("晚上时间",参数表!A:B,2,FALSE)</f>
        <v>晚上
6:30-8:45</v>
      </c>
      <c r="C110" s="34">
        <v>1</v>
      </c>
      <c r="D110" s="35" t="str">
        <f>IFERROR(VLOOKUP(C110,实验列表!A:B,2,FALSE),"")</f>
        <v>光栅光谱实验</v>
      </c>
      <c r="E110" s="49"/>
      <c r="F110" s="49"/>
      <c r="G110" s="49"/>
      <c r="H110" s="49" t="s">
        <v>10</v>
      </c>
      <c r="I110" s="49"/>
      <c r="J110" s="49" t="s">
        <v>10</v>
      </c>
      <c r="K110" s="49" t="s">
        <v>10</v>
      </c>
    </row>
    <row r="111" spans="1:11">
      <c r="A111" s="22"/>
      <c r="B111" s="41"/>
      <c r="C111" s="34">
        <v>2</v>
      </c>
      <c r="D111" s="35" t="str">
        <f>IFERROR(VLOOKUP(C111,实验列表!A:B,2,FALSE),"")</f>
        <v>光电效应普朗克常数</v>
      </c>
      <c r="E111" s="49"/>
      <c r="F111" s="49"/>
      <c r="G111" s="49" t="s">
        <v>8</v>
      </c>
      <c r="H111" s="49" t="s">
        <v>8</v>
      </c>
      <c r="I111" s="49" t="s">
        <v>8</v>
      </c>
      <c r="J111" s="49" t="s">
        <v>11</v>
      </c>
      <c r="K111" s="49" t="s">
        <v>9</v>
      </c>
    </row>
    <row r="112" spans="1:11">
      <c r="A112" s="22"/>
      <c r="B112" s="41"/>
      <c r="C112" s="34">
        <v>3</v>
      </c>
      <c r="D112" s="35" t="str">
        <f>IFERROR(VLOOKUP(C112,实验列表!A:B,2,FALSE),"")</f>
        <v>光的偏振</v>
      </c>
      <c r="E112" s="49"/>
      <c r="F112" s="49"/>
      <c r="G112" s="49"/>
      <c r="H112" s="49"/>
      <c r="I112" s="49" t="s">
        <v>16</v>
      </c>
      <c r="J112" s="49" t="s">
        <v>16</v>
      </c>
      <c r="K112" s="49" t="s">
        <v>16</v>
      </c>
    </row>
    <row r="113" ht="18.75" spans="1:11">
      <c r="A113" s="22"/>
      <c r="B113" s="41"/>
      <c r="C113" s="34">
        <v>4</v>
      </c>
      <c r="D113" s="35" t="str">
        <f>IFERROR(VLOOKUP(C113,实验列表!A:B,2,FALSE),"")</f>
        <v>光的干涉</v>
      </c>
      <c r="E113" s="49" t="s">
        <v>9</v>
      </c>
      <c r="F113" s="49"/>
      <c r="G113" s="49"/>
      <c r="H113" s="49"/>
      <c r="I113" s="49" t="s">
        <v>9</v>
      </c>
      <c r="J113" s="49"/>
      <c r="K113" s="49"/>
    </row>
    <row r="114" hidden="1" spans="1:11">
      <c r="A114" s="22"/>
      <c r="B114" s="41"/>
      <c r="C114" s="34">
        <v>5</v>
      </c>
      <c r="D114" s="35" t="str">
        <f>IFERROR(VLOOKUP(C114,实验列表!A:B,2,FALSE),"")</f>
        <v/>
      </c>
      <c r="E114" s="49"/>
      <c r="F114" s="49"/>
      <c r="G114" s="49"/>
      <c r="H114" s="49"/>
      <c r="I114" s="49"/>
      <c r="J114" s="49"/>
      <c r="K114" s="49"/>
    </row>
    <row r="115" ht="18.75" hidden="1" spans="1:11">
      <c r="A115" s="37"/>
      <c r="B115" s="42"/>
      <c r="C115" s="39">
        <v>6</v>
      </c>
      <c r="D115" s="40" t="str">
        <f>IFERROR(VLOOKUP(C115,实验列表!A:B,2,FALSE),"")</f>
        <v/>
      </c>
      <c r="E115" s="57"/>
      <c r="F115" s="53"/>
      <c r="G115" s="53"/>
      <c r="H115" s="53"/>
      <c r="I115" s="53"/>
      <c r="J115" s="53"/>
      <c r="K115" s="57"/>
    </row>
    <row r="116" ht="18.75" spans="1:11">
      <c r="A116" s="18" t="str">
        <f>"第"&amp;MID(A97,2,FIND("周",A97)-2)+1&amp;"周"</f>
        <v>第11周</v>
      </c>
      <c r="B116" s="19"/>
      <c r="C116" s="20" t="s">
        <v>0</v>
      </c>
      <c r="D116" s="21"/>
      <c r="E116" s="43" t="s">
        <v>1</v>
      </c>
      <c r="F116" s="43" t="s">
        <v>2</v>
      </c>
      <c r="G116" s="43" t="s">
        <v>3</v>
      </c>
      <c r="H116" s="43" t="s">
        <v>4</v>
      </c>
      <c r="I116" s="43" t="s">
        <v>5</v>
      </c>
      <c r="J116" s="43" t="s">
        <v>6</v>
      </c>
      <c r="K116" s="43" t="s">
        <v>7</v>
      </c>
    </row>
    <row r="117" customHeight="1" spans="1:11">
      <c r="A117" s="22" t="str">
        <f>VLOOKUP(A116,校历!B:F,4,FALSE)</f>
        <v>10.28-11.3</v>
      </c>
      <c r="B117" s="23" t="str">
        <f>"上午"&amp;CHAR(10)&amp;VLOOKUP("上午时间",参数表!A:B,2,FALSE)</f>
        <v>上午
9:55-12:10</v>
      </c>
      <c r="C117" s="24">
        <v>1</v>
      </c>
      <c r="D117" s="25" t="str">
        <f>IFERROR(VLOOKUP(C117,实验列表!A:B,2,FALSE),"")</f>
        <v>光栅光谱实验</v>
      </c>
      <c r="E117" s="45"/>
      <c r="F117" s="46"/>
      <c r="G117" s="45"/>
      <c r="H117" s="46" t="s">
        <v>10</v>
      </c>
      <c r="I117" s="46"/>
      <c r="J117" s="46" t="s">
        <v>10</v>
      </c>
      <c r="K117" s="61" t="s">
        <v>10</v>
      </c>
    </row>
    <row r="118" spans="1:11">
      <c r="A118" s="22"/>
      <c r="B118" s="26"/>
      <c r="C118" s="24">
        <v>2</v>
      </c>
      <c r="D118" s="25" t="str">
        <f>IFERROR(VLOOKUP(C118,实验列表!A:B,2,FALSE),"")</f>
        <v>光电效应普朗克常数</v>
      </c>
      <c r="E118" s="45"/>
      <c r="F118" s="46" t="s">
        <v>11</v>
      </c>
      <c r="G118" s="45"/>
      <c r="H118" s="46" t="s">
        <v>8</v>
      </c>
      <c r="I118" s="46" t="s">
        <v>8</v>
      </c>
      <c r="J118" s="46" t="s">
        <v>9</v>
      </c>
      <c r="K118" s="61" t="s">
        <v>9</v>
      </c>
    </row>
    <row r="119" spans="1:11">
      <c r="A119" s="22"/>
      <c r="B119" s="26"/>
      <c r="C119" s="24">
        <v>3</v>
      </c>
      <c r="D119" s="25" t="str">
        <f>IFERROR(VLOOKUP(C119,实验列表!A:B,2,FALSE),"")</f>
        <v>光的偏振</v>
      </c>
      <c r="E119" s="65" t="s">
        <v>17</v>
      </c>
      <c r="F119" s="46" t="s">
        <v>15</v>
      </c>
      <c r="G119" s="45"/>
      <c r="H119" s="46" t="s">
        <v>15</v>
      </c>
      <c r="I119" s="46" t="s">
        <v>15</v>
      </c>
      <c r="J119" s="46" t="s">
        <v>16</v>
      </c>
      <c r="K119" s="61" t="s">
        <v>16</v>
      </c>
    </row>
    <row r="120" spans="1:11">
      <c r="A120" s="22"/>
      <c r="B120" s="26"/>
      <c r="C120" s="24">
        <v>4</v>
      </c>
      <c r="D120" s="25" t="str">
        <f>IFERROR(VLOOKUP(C120,实验列表!A:B,2,FALSE),"")</f>
        <v>光的干涉</v>
      </c>
      <c r="E120" s="66"/>
      <c r="F120" s="46"/>
      <c r="G120" s="45"/>
      <c r="H120" s="46"/>
      <c r="I120" s="46"/>
      <c r="J120" s="46"/>
      <c r="K120" s="61"/>
    </row>
    <row r="121" hidden="1" spans="1:11">
      <c r="A121" s="22"/>
      <c r="B121" s="26"/>
      <c r="C121" s="24">
        <v>5</v>
      </c>
      <c r="D121" s="25" t="str">
        <f>IFERROR(VLOOKUP(C121,实验列表!A:B,2,FALSE),"")</f>
        <v/>
      </c>
      <c r="E121" s="46"/>
      <c r="F121" s="46"/>
      <c r="G121" s="46"/>
      <c r="H121" s="46"/>
      <c r="I121" s="46"/>
      <c r="J121" s="46"/>
      <c r="K121" s="61"/>
    </row>
    <row r="122" hidden="1" spans="1:11">
      <c r="A122" s="22"/>
      <c r="B122" s="27"/>
      <c r="C122" s="24">
        <v>6</v>
      </c>
      <c r="D122" s="25" t="str">
        <f>IFERROR(VLOOKUP(C122,实验列表!A:B,2,FALSE),"")</f>
        <v/>
      </c>
      <c r="E122" s="46"/>
      <c r="F122" s="46"/>
      <c r="G122" s="46"/>
      <c r="H122" s="46"/>
      <c r="I122" s="46"/>
      <c r="J122" s="46"/>
      <c r="K122" s="61"/>
    </row>
    <row r="123" customHeight="1" spans="1:11">
      <c r="A123" s="22"/>
      <c r="B123" s="28" t="str">
        <f>"下午"&amp;CHAR(10)&amp;VLOOKUP("下午时间",参数表!A:B,2,FALSE)</f>
        <v>下午
3:15-5:30</v>
      </c>
      <c r="C123" s="29">
        <v>1</v>
      </c>
      <c r="D123" s="30" t="str">
        <f>IFERROR(VLOOKUP(C123,实验列表!A:B,2,FALSE),"")</f>
        <v>光栅光谱实验</v>
      </c>
      <c r="E123" s="55"/>
      <c r="F123" s="47"/>
      <c r="G123" s="45"/>
      <c r="H123" s="47" t="s">
        <v>10</v>
      </c>
      <c r="I123" s="47"/>
      <c r="J123" s="47" t="s">
        <v>10</v>
      </c>
      <c r="K123" s="55" t="s">
        <v>10</v>
      </c>
    </row>
    <row r="124" spans="1:11">
      <c r="A124" s="22"/>
      <c r="B124" s="31"/>
      <c r="C124" s="29">
        <v>2</v>
      </c>
      <c r="D124" s="30" t="str">
        <f>IFERROR(VLOOKUP(C124,实验列表!A:B,2,FALSE),"")</f>
        <v>光电效应普朗克常数</v>
      </c>
      <c r="E124" s="55"/>
      <c r="F124" s="47"/>
      <c r="G124" s="45"/>
      <c r="H124" s="47" t="s">
        <v>8</v>
      </c>
      <c r="I124" s="47" t="s">
        <v>8</v>
      </c>
      <c r="J124" s="47" t="s">
        <v>9</v>
      </c>
      <c r="K124" s="55" t="s">
        <v>9</v>
      </c>
    </row>
    <row r="125" spans="1:11">
      <c r="A125" s="22"/>
      <c r="B125" s="31"/>
      <c r="C125" s="29">
        <v>3</v>
      </c>
      <c r="D125" s="30" t="str">
        <f>IFERROR(VLOOKUP(C125,实验列表!A:B,2,FALSE),"")</f>
        <v>光的偏振</v>
      </c>
      <c r="E125" s="55" t="s">
        <v>16</v>
      </c>
      <c r="F125" s="47" t="s">
        <v>15</v>
      </c>
      <c r="G125" s="65" t="s">
        <v>17</v>
      </c>
      <c r="H125" s="47" t="s">
        <v>15</v>
      </c>
      <c r="I125" s="47" t="s">
        <v>15</v>
      </c>
      <c r="J125" s="47" t="s">
        <v>16</v>
      </c>
      <c r="K125" s="55" t="s">
        <v>16</v>
      </c>
    </row>
    <row r="126" spans="1:11">
      <c r="A126" s="22"/>
      <c r="B126" s="31"/>
      <c r="C126" s="29">
        <v>4</v>
      </c>
      <c r="D126" s="30" t="str">
        <f>IFERROR(VLOOKUP(C126,实验列表!A:B,2,FALSE),"")</f>
        <v>光的干涉</v>
      </c>
      <c r="E126" s="55"/>
      <c r="F126" s="47"/>
      <c r="G126" s="45"/>
      <c r="H126" s="47" t="s">
        <v>18</v>
      </c>
      <c r="I126" s="47" t="s">
        <v>18</v>
      </c>
      <c r="J126" s="47"/>
      <c r="K126" s="55"/>
    </row>
    <row r="127" hidden="1" spans="1:11">
      <c r="A127" s="22"/>
      <c r="B127" s="31"/>
      <c r="C127" s="29">
        <v>5</v>
      </c>
      <c r="D127" s="30" t="str">
        <f>IFERROR(VLOOKUP(C127,实验列表!A:B,2,FALSE),"")</f>
        <v/>
      </c>
      <c r="E127" s="55"/>
      <c r="F127" s="47"/>
      <c r="G127" s="47"/>
      <c r="H127" s="47"/>
      <c r="I127" s="47"/>
      <c r="J127" s="47"/>
      <c r="K127" s="55"/>
    </row>
    <row r="128" hidden="1" spans="1:11">
      <c r="A128" s="22"/>
      <c r="B128" s="32"/>
      <c r="C128" s="29">
        <v>6</v>
      </c>
      <c r="D128" s="30" t="str">
        <f>IFERROR(VLOOKUP(C128,实验列表!A:B,2,FALSE),"")</f>
        <v/>
      </c>
      <c r="E128" s="55"/>
      <c r="F128" s="47"/>
      <c r="G128" s="47"/>
      <c r="H128" s="47"/>
      <c r="I128" s="47"/>
      <c r="J128" s="47"/>
      <c r="K128" s="55"/>
    </row>
    <row r="129" customHeight="1" spans="1:11">
      <c r="A129" s="22"/>
      <c r="B129" s="33" t="str">
        <f>"晚上"&amp;CHAR(10)&amp;VLOOKUP("晚上时间",参数表!A:B,2,FALSE)</f>
        <v>晚上
6:30-8:45</v>
      </c>
      <c r="C129" s="34">
        <v>1</v>
      </c>
      <c r="D129" s="35" t="str">
        <f>IFERROR(VLOOKUP(C129,实验列表!A:B,2,FALSE),"")</f>
        <v>光栅光谱实验</v>
      </c>
      <c r="E129" s="49"/>
      <c r="F129" s="49"/>
      <c r="G129" s="49"/>
      <c r="H129" s="49" t="s">
        <v>10</v>
      </c>
      <c r="I129" s="49"/>
      <c r="J129" s="49" t="s">
        <v>10</v>
      </c>
      <c r="K129" s="49" t="s">
        <v>10</v>
      </c>
    </row>
    <row r="130" spans="1:11">
      <c r="A130" s="22"/>
      <c r="B130" s="41"/>
      <c r="C130" s="34">
        <v>2</v>
      </c>
      <c r="D130" s="35" t="str">
        <f>IFERROR(VLOOKUP(C130,实验列表!A:B,2,FALSE),"")</f>
        <v>光电效应普朗克常数</v>
      </c>
      <c r="E130" s="49"/>
      <c r="F130" s="49"/>
      <c r="G130" s="49" t="s">
        <v>8</v>
      </c>
      <c r="H130" s="49" t="s">
        <v>8</v>
      </c>
      <c r="I130" s="49" t="s">
        <v>8</v>
      </c>
      <c r="J130" s="49" t="s">
        <v>9</v>
      </c>
      <c r="K130" s="49" t="s">
        <v>9</v>
      </c>
    </row>
    <row r="131" spans="1:11">
      <c r="A131" s="22"/>
      <c r="B131" s="41"/>
      <c r="C131" s="34">
        <v>3</v>
      </c>
      <c r="D131" s="35" t="str">
        <f>IFERROR(VLOOKUP(C131,实验列表!A:B,2,FALSE),"")</f>
        <v>光的偏振</v>
      </c>
      <c r="E131" s="49" t="s">
        <v>16</v>
      </c>
      <c r="F131" s="65" t="s">
        <v>17</v>
      </c>
      <c r="G131" s="49"/>
      <c r="H131" s="65" t="s">
        <v>17</v>
      </c>
      <c r="I131" s="49" t="s">
        <v>16</v>
      </c>
      <c r="J131" s="49" t="s">
        <v>16</v>
      </c>
      <c r="K131" s="49" t="s">
        <v>16</v>
      </c>
    </row>
    <row r="132" ht="18.75" spans="1:11">
      <c r="A132" s="22"/>
      <c r="B132" s="41"/>
      <c r="C132" s="34">
        <v>4</v>
      </c>
      <c r="D132" s="35" t="str">
        <f>IFERROR(VLOOKUP(C132,实验列表!A:B,2,FALSE),"")</f>
        <v>光的干涉</v>
      </c>
      <c r="E132" s="67"/>
      <c r="F132" s="49"/>
      <c r="G132" s="49"/>
      <c r="H132" s="49"/>
      <c r="I132" s="49"/>
      <c r="J132" s="49"/>
      <c r="K132" s="49"/>
    </row>
    <row r="133" hidden="1" spans="1:11">
      <c r="A133" s="22"/>
      <c r="B133" s="41"/>
      <c r="C133" s="34">
        <v>5</v>
      </c>
      <c r="D133" s="35" t="str">
        <f>IFERROR(VLOOKUP(C133,实验列表!A:B,2,FALSE),"")</f>
        <v/>
      </c>
      <c r="E133" s="49"/>
      <c r="F133" s="49"/>
      <c r="G133" s="49"/>
      <c r="H133" s="49"/>
      <c r="I133" s="49"/>
      <c r="J133" s="49"/>
      <c r="K133" s="49"/>
    </row>
    <row r="134" ht="18.75" hidden="1" spans="1:11">
      <c r="A134" s="37"/>
      <c r="B134" s="42"/>
      <c r="C134" s="39">
        <v>6</v>
      </c>
      <c r="D134" s="40" t="str">
        <f>IFERROR(VLOOKUP(C134,实验列表!A:B,2,FALSE),"")</f>
        <v/>
      </c>
      <c r="E134" s="57"/>
      <c r="F134" s="53"/>
      <c r="G134" s="53"/>
      <c r="H134" s="53"/>
      <c r="I134" s="53"/>
      <c r="J134" s="53"/>
      <c r="K134" s="57"/>
    </row>
    <row r="135" ht="18.75" spans="1:11">
      <c r="A135" s="18" t="str">
        <f>"第"&amp;MID(A116,2,FIND("周",A116)-2)+1&amp;"周"</f>
        <v>第12周</v>
      </c>
      <c r="B135" s="19"/>
      <c r="C135" s="20" t="s">
        <v>0</v>
      </c>
      <c r="D135" s="21"/>
      <c r="E135" s="43" t="s">
        <v>1</v>
      </c>
      <c r="F135" s="43" t="s">
        <v>2</v>
      </c>
      <c r="G135" s="43" t="s">
        <v>3</v>
      </c>
      <c r="H135" s="43" t="s">
        <v>4</v>
      </c>
      <c r="I135" s="43" t="s">
        <v>5</v>
      </c>
      <c r="J135" s="43" t="s">
        <v>6</v>
      </c>
      <c r="K135" s="43" t="s">
        <v>7</v>
      </c>
    </row>
    <row r="136" customHeight="1" spans="1:11">
      <c r="A136" s="22" t="str">
        <f>VLOOKUP(A135,校历!B:F,4,FALSE)</f>
        <v>11.4-11.10</v>
      </c>
      <c r="B136" s="23" t="str">
        <f>"上午"&amp;CHAR(10)&amp;VLOOKUP("上午时间",参数表!A:B,2,FALSE)</f>
        <v>上午
9:55-12:10</v>
      </c>
      <c r="C136" s="24">
        <v>1</v>
      </c>
      <c r="D136" s="25" t="str">
        <f>IFERROR(VLOOKUP(C136,实验列表!A:B,2,FALSE),"")</f>
        <v>光栅光谱实验</v>
      </c>
      <c r="E136" s="46"/>
      <c r="F136" s="46"/>
      <c r="G136" s="45"/>
      <c r="H136" s="46" t="s">
        <v>10</v>
      </c>
      <c r="I136" s="46"/>
      <c r="J136" s="46" t="s">
        <v>10</v>
      </c>
      <c r="K136" s="61" t="s">
        <v>10</v>
      </c>
    </row>
    <row r="137" spans="1:11">
      <c r="A137" s="22"/>
      <c r="B137" s="26"/>
      <c r="C137" s="24">
        <v>2</v>
      </c>
      <c r="D137" s="25" t="str">
        <f>IFERROR(VLOOKUP(C137,实验列表!A:B,2,FALSE),"")</f>
        <v>光电效应普朗克常数</v>
      </c>
      <c r="E137" s="46" t="s">
        <v>9</v>
      </c>
      <c r="F137" s="46" t="s">
        <v>11</v>
      </c>
      <c r="G137" s="45"/>
      <c r="H137" s="46" t="s">
        <v>8</v>
      </c>
      <c r="I137" s="46" t="s">
        <v>8</v>
      </c>
      <c r="J137" s="46" t="s">
        <v>9</v>
      </c>
      <c r="K137" s="61" t="s">
        <v>9</v>
      </c>
    </row>
    <row r="138" spans="1:11">
      <c r="A138" s="22"/>
      <c r="B138" s="26"/>
      <c r="C138" s="24">
        <v>3</v>
      </c>
      <c r="D138" s="25" t="str">
        <f>IFERROR(VLOOKUP(C138,实验列表!A:B,2,FALSE),"")</f>
        <v>光的偏振</v>
      </c>
      <c r="E138" s="46"/>
      <c r="F138" s="46" t="s">
        <v>15</v>
      </c>
      <c r="G138" s="45"/>
      <c r="H138" s="46" t="s">
        <v>15</v>
      </c>
      <c r="I138" s="46" t="s">
        <v>15</v>
      </c>
      <c r="J138" s="46" t="s">
        <v>16</v>
      </c>
      <c r="K138" s="61" t="s">
        <v>16</v>
      </c>
    </row>
    <row r="139" spans="1:11">
      <c r="A139" s="22"/>
      <c r="B139" s="26"/>
      <c r="C139" s="24">
        <v>4</v>
      </c>
      <c r="D139" s="25" t="str">
        <f>IFERROR(VLOOKUP(C139,实验列表!A:B,2,FALSE),"")</f>
        <v>光的干涉</v>
      </c>
      <c r="E139" s="66"/>
      <c r="F139" s="46"/>
      <c r="G139" s="45"/>
      <c r="H139" s="46"/>
      <c r="I139" s="46"/>
      <c r="J139" s="46"/>
      <c r="K139" s="61"/>
    </row>
    <row r="140" hidden="1" spans="1:11">
      <c r="A140" s="22"/>
      <c r="B140" s="26"/>
      <c r="C140" s="24">
        <v>5</v>
      </c>
      <c r="D140" s="25" t="str">
        <f>IFERROR(VLOOKUP(C140,实验列表!A:B,2,FALSE),"")</f>
        <v/>
      </c>
      <c r="E140" s="46"/>
      <c r="F140" s="46"/>
      <c r="G140" s="46"/>
      <c r="H140" s="46"/>
      <c r="I140" s="46"/>
      <c r="J140" s="46"/>
      <c r="K140" s="61"/>
    </row>
    <row r="141" hidden="1" spans="1:11">
      <c r="A141" s="22"/>
      <c r="B141" s="27"/>
      <c r="C141" s="24">
        <v>6</v>
      </c>
      <c r="D141" s="25" t="str">
        <f>IFERROR(VLOOKUP(C141,实验列表!A:B,2,FALSE),"")</f>
        <v/>
      </c>
      <c r="E141" s="46"/>
      <c r="F141" s="46"/>
      <c r="G141" s="46"/>
      <c r="H141" s="46"/>
      <c r="I141" s="46"/>
      <c r="J141" s="46"/>
      <c r="K141" s="61"/>
    </row>
    <row r="142" customHeight="1" spans="1:11">
      <c r="A142" s="22"/>
      <c r="B142" s="28" t="str">
        <f>"下午"&amp;CHAR(10)&amp;VLOOKUP("下午时间",参数表!A:B,2,FALSE)</f>
        <v>下午
3:15-5:30</v>
      </c>
      <c r="C142" s="29">
        <v>1</v>
      </c>
      <c r="D142" s="30" t="str">
        <f>IFERROR(VLOOKUP(C142,实验列表!A:B,2,FALSE),"")</f>
        <v>光栅光谱实验</v>
      </c>
      <c r="E142" s="55"/>
      <c r="F142" s="47"/>
      <c r="G142" s="47"/>
      <c r="H142" s="47" t="s">
        <v>10</v>
      </c>
      <c r="I142" s="47"/>
      <c r="J142" s="47" t="s">
        <v>10</v>
      </c>
      <c r="K142" s="55" t="s">
        <v>10</v>
      </c>
    </row>
    <row r="143" spans="1:11">
      <c r="A143" s="22"/>
      <c r="B143" s="31"/>
      <c r="C143" s="29">
        <v>2</v>
      </c>
      <c r="D143" s="30" t="str">
        <f>IFERROR(VLOOKUP(C143,实验列表!A:B,2,FALSE),"")</f>
        <v>光电效应普朗克常数</v>
      </c>
      <c r="E143" s="55" t="s">
        <v>9</v>
      </c>
      <c r="F143" s="47"/>
      <c r="G143" s="47" t="s">
        <v>8</v>
      </c>
      <c r="H143" s="47" t="s">
        <v>8</v>
      </c>
      <c r="I143" s="47" t="s">
        <v>8</v>
      </c>
      <c r="J143" s="47" t="s">
        <v>9</v>
      </c>
      <c r="K143" s="55" t="s">
        <v>9</v>
      </c>
    </row>
    <row r="144" spans="1:11">
      <c r="A144" s="22"/>
      <c r="B144" s="31"/>
      <c r="C144" s="29">
        <v>3</v>
      </c>
      <c r="D144" s="30" t="str">
        <f>IFERROR(VLOOKUP(C144,实验列表!A:B,2,FALSE),"")</f>
        <v>光的偏振</v>
      </c>
      <c r="E144" s="55" t="s">
        <v>16</v>
      </c>
      <c r="F144" s="47" t="s">
        <v>15</v>
      </c>
      <c r="G144" s="47"/>
      <c r="H144" s="47" t="s">
        <v>15</v>
      </c>
      <c r="I144" s="47" t="s">
        <v>15</v>
      </c>
      <c r="J144" s="47" t="s">
        <v>16</v>
      </c>
      <c r="K144" s="55" t="s">
        <v>16</v>
      </c>
    </row>
    <row r="145" spans="1:11">
      <c r="A145" s="22"/>
      <c r="B145" s="31"/>
      <c r="C145" s="29">
        <v>4</v>
      </c>
      <c r="D145" s="30" t="str">
        <f>IFERROR(VLOOKUP(C145,实验列表!A:B,2,FALSE),"")</f>
        <v>光的干涉</v>
      </c>
      <c r="E145" s="55"/>
      <c r="F145" s="47"/>
      <c r="G145" s="47" t="s">
        <v>19</v>
      </c>
      <c r="H145" s="47" t="s">
        <v>18</v>
      </c>
      <c r="I145" s="47" t="s">
        <v>18</v>
      </c>
      <c r="J145" s="66"/>
      <c r="K145" s="55"/>
    </row>
    <row r="146" hidden="1" spans="1:11">
      <c r="A146" s="22"/>
      <c r="B146" s="31"/>
      <c r="C146" s="29">
        <v>5</v>
      </c>
      <c r="D146" s="30" t="str">
        <f>IFERROR(VLOOKUP(C146,实验列表!A:B,2,FALSE),"")</f>
        <v/>
      </c>
      <c r="E146" s="55"/>
      <c r="F146" s="47"/>
      <c r="G146" s="47"/>
      <c r="H146" s="47"/>
      <c r="I146" s="47"/>
      <c r="J146" s="47"/>
      <c r="K146" s="55"/>
    </row>
    <row r="147" hidden="1" spans="1:11">
      <c r="A147" s="22"/>
      <c r="B147" s="32"/>
      <c r="C147" s="29">
        <v>6</v>
      </c>
      <c r="D147" s="30" t="str">
        <f>IFERROR(VLOOKUP(C147,实验列表!A:B,2,FALSE),"")</f>
        <v/>
      </c>
      <c r="E147" s="55"/>
      <c r="F147" s="47"/>
      <c r="G147" s="47"/>
      <c r="H147" s="47"/>
      <c r="I147" s="47"/>
      <c r="J147" s="47"/>
      <c r="K147" s="55"/>
    </row>
    <row r="148" customHeight="1" spans="1:11">
      <c r="A148" s="22"/>
      <c r="B148" s="33" t="str">
        <f>"晚上"&amp;CHAR(10)&amp;VLOOKUP("晚上时间",参数表!A:B,2,FALSE)</f>
        <v>晚上
6:30-8:45</v>
      </c>
      <c r="C148" s="34">
        <v>1</v>
      </c>
      <c r="D148" s="35" t="str">
        <f>IFERROR(VLOOKUP(C148,实验列表!A:B,2,FALSE),"")</f>
        <v>光栅光谱实验</v>
      </c>
      <c r="E148" s="49"/>
      <c r="F148" s="49"/>
      <c r="G148" s="49"/>
      <c r="H148" s="49" t="s">
        <v>10</v>
      </c>
      <c r="I148" s="49"/>
      <c r="J148" s="49" t="s">
        <v>10</v>
      </c>
      <c r="K148" s="49" t="s">
        <v>10</v>
      </c>
    </row>
    <row r="149" spans="1:11">
      <c r="A149" s="22"/>
      <c r="B149" s="41"/>
      <c r="C149" s="34">
        <v>2</v>
      </c>
      <c r="D149" s="35" t="str">
        <f>IFERROR(VLOOKUP(C149,实验列表!A:B,2,FALSE),"")</f>
        <v>光电效应普朗克常数</v>
      </c>
      <c r="E149" s="49" t="s">
        <v>9</v>
      </c>
      <c r="F149" s="49"/>
      <c r="G149" s="49" t="s">
        <v>8</v>
      </c>
      <c r="H149" s="49" t="s">
        <v>8</v>
      </c>
      <c r="I149" s="49" t="s">
        <v>8</v>
      </c>
      <c r="J149" s="49" t="s">
        <v>9</v>
      </c>
      <c r="K149" s="49" t="s">
        <v>9</v>
      </c>
    </row>
    <row r="150" spans="1:11">
      <c r="A150" s="22"/>
      <c r="B150" s="41"/>
      <c r="C150" s="34">
        <v>3</v>
      </c>
      <c r="D150" s="35" t="str">
        <f>IFERROR(VLOOKUP(C150,实验列表!A:B,2,FALSE),"")</f>
        <v>光的偏振</v>
      </c>
      <c r="E150" s="49" t="s">
        <v>16</v>
      </c>
      <c r="F150" s="49"/>
      <c r="G150" s="49"/>
      <c r="H150" s="49"/>
      <c r="I150" s="49" t="s">
        <v>16</v>
      </c>
      <c r="J150" s="49" t="s">
        <v>16</v>
      </c>
      <c r="K150" s="49" t="s">
        <v>16</v>
      </c>
    </row>
    <row r="151" ht="18.75" spans="1:11">
      <c r="A151" s="22"/>
      <c r="B151" s="41"/>
      <c r="C151" s="34">
        <v>4</v>
      </c>
      <c r="D151" s="35" t="str">
        <f>IFERROR(VLOOKUP(C151,实验列表!A:B,2,FALSE),"")</f>
        <v>光的干涉</v>
      </c>
      <c r="E151" s="67"/>
      <c r="F151" s="49"/>
      <c r="G151" s="49" t="s">
        <v>19</v>
      </c>
      <c r="H151" s="49"/>
      <c r="I151" s="49"/>
      <c r="J151" s="49"/>
      <c r="K151" s="49"/>
    </row>
    <row r="152" hidden="1" spans="1:11">
      <c r="A152" s="22"/>
      <c r="B152" s="41"/>
      <c r="C152" s="34">
        <v>5</v>
      </c>
      <c r="D152" s="35" t="str">
        <f>IFERROR(VLOOKUP(C152,实验列表!A:B,2,FALSE),"")</f>
        <v/>
      </c>
      <c r="E152" s="49"/>
      <c r="F152" s="49"/>
      <c r="G152" s="49"/>
      <c r="H152" s="49"/>
      <c r="I152" s="49"/>
      <c r="J152" s="49"/>
      <c r="K152" s="49"/>
    </row>
    <row r="153" ht="18.75" hidden="1" spans="1:11">
      <c r="A153" s="37"/>
      <c r="B153" s="42"/>
      <c r="C153" s="39">
        <v>6</v>
      </c>
      <c r="D153" s="40" t="str">
        <f>IFERROR(VLOOKUP(C153,实验列表!A:B,2,FALSE),"")</f>
        <v/>
      </c>
      <c r="E153" s="57"/>
      <c r="F153" s="53"/>
      <c r="G153" s="53"/>
      <c r="H153" s="53"/>
      <c r="I153" s="53"/>
      <c r="J153" s="53"/>
      <c r="K153" s="57"/>
    </row>
    <row r="154" ht="18.75" spans="1:11">
      <c r="A154" s="18" t="str">
        <f>"第"&amp;MID(A135,2,FIND("周",A135)-2)+1&amp;"周"</f>
        <v>第13周</v>
      </c>
      <c r="B154" s="19"/>
      <c r="C154" s="20" t="s">
        <v>0</v>
      </c>
      <c r="D154" s="21"/>
      <c r="E154" s="43" t="s">
        <v>1</v>
      </c>
      <c r="F154" s="43" t="s">
        <v>2</v>
      </c>
      <c r="G154" s="43" t="s">
        <v>3</v>
      </c>
      <c r="H154" s="43" t="s">
        <v>4</v>
      </c>
      <c r="I154" s="43" t="s">
        <v>5</v>
      </c>
      <c r="J154" s="43" t="s">
        <v>6</v>
      </c>
      <c r="K154" s="43" t="s">
        <v>7</v>
      </c>
    </row>
    <row r="155" customHeight="1" spans="1:11">
      <c r="A155" s="22" t="str">
        <f>VLOOKUP(A154,校历!B:F,4,FALSE)</f>
        <v>11.11-11.17</v>
      </c>
      <c r="B155" s="23" t="str">
        <f>"上午"&amp;CHAR(10)&amp;VLOOKUP("上午时间",参数表!A:B,2,FALSE)</f>
        <v>上午
9:55-12:10</v>
      </c>
      <c r="C155" s="24">
        <v>1</v>
      </c>
      <c r="D155" s="25" t="str">
        <f>IFERROR(VLOOKUP(C155,实验列表!A:B,2,FALSE),"")</f>
        <v>光栅光谱实验</v>
      </c>
      <c r="E155" s="46"/>
      <c r="F155" s="46"/>
      <c r="G155" s="45"/>
      <c r="H155" s="46" t="s">
        <v>10</v>
      </c>
      <c r="I155" s="46"/>
      <c r="J155" s="46" t="s">
        <v>10</v>
      </c>
      <c r="K155" s="61" t="s">
        <v>10</v>
      </c>
    </row>
    <row r="156" spans="1:11">
      <c r="A156" s="22"/>
      <c r="B156" s="26"/>
      <c r="C156" s="46">
        <v>2</v>
      </c>
      <c r="D156" s="46" t="str">
        <f>IFERROR(VLOOKUP(C156,实验列表!A:B,2,FALSE),"")</f>
        <v>光电效应普朗克常数</v>
      </c>
      <c r="E156" s="46" t="s">
        <v>9</v>
      </c>
      <c r="F156" s="46" t="s">
        <v>11</v>
      </c>
      <c r="G156" s="45"/>
      <c r="H156" s="46"/>
      <c r="I156" s="46"/>
      <c r="J156" s="46" t="s">
        <v>9</v>
      </c>
      <c r="K156" s="61"/>
    </row>
    <row r="157" spans="1:11">
      <c r="A157" s="22"/>
      <c r="B157" s="26"/>
      <c r="C157" s="24">
        <v>3</v>
      </c>
      <c r="D157" s="25" t="str">
        <f>IFERROR(VLOOKUP(C157,实验列表!A:B,2,FALSE),"")</f>
        <v>光的偏振</v>
      </c>
      <c r="E157" s="66"/>
      <c r="F157" s="46" t="s">
        <v>15</v>
      </c>
      <c r="G157" s="45"/>
      <c r="H157" s="46" t="s">
        <v>15</v>
      </c>
      <c r="I157" s="46" t="s">
        <v>15</v>
      </c>
      <c r="J157" s="46"/>
      <c r="K157" s="61"/>
    </row>
    <row r="158" spans="1:11">
      <c r="A158" s="22"/>
      <c r="B158" s="26"/>
      <c r="C158" s="24">
        <v>4</v>
      </c>
      <c r="D158" s="25" t="str">
        <f>IFERROR(VLOOKUP(C158,实验列表!A:B,2,FALSE),"")</f>
        <v>光的干涉</v>
      </c>
      <c r="E158" s="46"/>
      <c r="F158" s="46"/>
      <c r="G158" s="45"/>
      <c r="H158" s="46"/>
      <c r="I158" s="46"/>
      <c r="J158" s="46"/>
      <c r="K158" s="61"/>
    </row>
    <row r="159" hidden="1" spans="1:11">
      <c r="A159" s="22"/>
      <c r="B159" s="26"/>
      <c r="C159" s="24">
        <v>5</v>
      </c>
      <c r="D159" s="25" t="str">
        <f>IFERROR(VLOOKUP(C159,实验列表!A:B,2,FALSE),"")</f>
        <v/>
      </c>
      <c r="E159" s="46"/>
      <c r="F159" s="46"/>
      <c r="G159" s="46"/>
      <c r="H159" s="46"/>
      <c r="I159" s="46"/>
      <c r="J159" s="46"/>
      <c r="K159" s="61"/>
    </row>
    <row r="160" hidden="1" spans="1:11">
      <c r="A160" s="22"/>
      <c r="B160" s="27"/>
      <c r="C160" s="24">
        <v>6</v>
      </c>
      <c r="D160" s="25" t="str">
        <f>IFERROR(VLOOKUP(C160,实验列表!A:B,2,FALSE),"")</f>
        <v/>
      </c>
      <c r="E160" s="46"/>
      <c r="F160" s="46"/>
      <c r="G160" s="46"/>
      <c r="H160" s="46"/>
      <c r="I160" s="46"/>
      <c r="J160" s="46"/>
      <c r="K160" s="61"/>
    </row>
    <row r="161" customHeight="1" spans="1:11">
      <c r="A161" s="22"/>
      <c r="B161" s="28" t="str">
        <f>"下午"&amp;CHAR(10)&amp;VLOOKUP("下午时间",参数表!A:B,2,FALSE)</f>
        <v>下午
3:15-5:30</v>
      </c>
      <c r="C161" s="29">
        <v>1</v>
      </c>
      <c r="D161" s="30" t="str">
        <f>IFERROR(VLOOKUP(C161,实验列表!A:B,2,FALSE),"")</f>
        <v>光栅光谱实验</v>
      </c>
      <c r="E161" s="55"/>
      <c r="F161" s="47"/>
      <c r="G161" s="47"/>
      <c r="H161" s="47" t="s">
        <v>10</v>
      </c>
      <c r="I161" s="47"/>
      <c r="J161" s="47" t="s">
        <v>10</v>
      </c>
      <c r="K161" s="55"/>
    </row>
    <row r="162" spans="1:11">
      <c r="A162" s="22"/>
      <c r="B162" s="31"/>
      <c r="C162" s="47">
        <v>2</v>
      </c>
      <c r="D162" s="47" t="str">
        <f>IFERROR(VLOOKUP(C162,实验列表!A:B,2,FALSE),"")</f>
        <v>光电效应普朗克常数</v>
      </c>
      <c r="E162" s="55" t="s">
        <v>9</v>
      </c>
      <c r="F162" s="47"/>
      <c r="G162" s="47"/>
      <c r="H162" s="47"/>
      <c r="I162" s="47"/>
      <c r="J162" s="47" t="s">
        <v>9</v>
      </c>
      <c r="K162" s="55"/>
    </row>
    <row r="163" spans="1:11">
      <c r="A163" s="22"/>
      <c r="B163" s="31"/>
      <c r="C163" s="29">
        <v>3</v>
      </c>
      <c r="D163" s="30" t="str">
        <f>IFERROR(VLOOKUP(C163,实验列表!A:B,2,FALSE),"")</f>
        <v>光的偏振</v>
      </c>
      <c r="E163" s="55"/>
      <c r="F163" s="47" t="s">
        <v>15</v>
      </c>
      <c r="G163" s="47"/>
      <c r="H163" s="47" t="s">
        <v>15</v>
      </c>
      <c r="I163" s="47" t="s">
        <v>15</v>
      </c>
      <c r="J163" s="47" t="s">
        <v>20</v>
      </c>
      <c r="K163" s="55" t="s">
        <v>20</v>
      </c>
    </row>
    <row r="164" spans="1:11">
      <c r="A164" s="22"/>
      <c r="B164" s="31"/>
      <c r="C164" s="29">
        <v>4</v>
      </c>
      <c r="D164" s="30" t="str">
        <f>IFERROR(VLOOKUP(C164,实验列表!A:B,2,FALSE),"")</f>
        <v>光的干涉</v>
      </c>
      <c r="E164" s="55"/>
      <c r="F164" s="47"/>
      <c r="G164" s="47" t="s">
        <v>19</v>
      </c>
      <c r="H164" s="47" t="s">
        <v>18</v>
      </c>
      <c r="I164" s="47" t="s">
        <v>18</v>
      </c>
      <c r="J164" s="47"/>
      <c r="K164" s="55"/>
    </row>
    <row r="165" hidden="1" spans="1:11">
      <c r="A165" s="22"/>
      <c r="B165" s="31"/>
      <c r="C165" s="29">
        <v>5</v>
      </c>
      <c r="D165" s="30" t="str">
        <f>IFERROR(VLOOKUP(C165,实验列表!A:B,2,FALSE),"")</f>
        <v/>
      </c>
      <c r="E165" s="55"/>
      <c r="F165" s="47"/>
      <c r="G165" s="47"/>
      <c r="H165" s="47"/>
      <c r="I165" s="47"/>
      <c r="J165" s="47"/>
      <c r="K165" s="55"/>
    </row>
    <row r="166" hidden="1" spans="1:11">
      <c r="A166" s="22"/>
      <c r="B166" s="32"/>
      <c r="C166" s="29">
        <v>6</v>
      </c>
      <c r="D166" s="30" t="str">
        <f>IFERROR(VLOOKUP(C166,实验列表!A:B,2,FALSE),"")</f>
        <v/>
      </c>
      <c r="E166" s="55"/>
      <c r="F166" s="47"/>
      <c r="G166" s="47"/>
      <c r="H166" s="47"/>
      <c r="I166" s="47"/>
      <c r="J166" s="47"/>
      <c r="K166" s="55"/>
    </row>
    <row r="167" customHeight="1" spans="1:11">
      <c r="A167" s="22"/>
      <c r="B167" s="33" t="str">
        <f>"晚上"&amp;CHAR(10)&amp;VLOOKUP("晚上时间",参数表!A:B,2,FALSE)</f>
        <v>晚上
6:30-8:45</v>
      </c>
      <c r="C167" s="34">
        <v>1</v>
      </c>
      <c r="D167" s="35" t="str">
        <f>IFERROR(VLOOKUP(C167,实验列表!A:B,2,FALSE),"")</f>
        <v>光栅光谱实验</v>
      </c>
      <c r="E167" s="49"/>
      <c r="F167" s="49"/>
      <c r="G167" s="49"/>
      <c r="H167" s="49" t="s">
        <v>10</v>
      </c>
      <c r="I167" s="49"/>
      <c r="J167" s="49" t="s">
        <v>10</v>
      </c>
      <c r="K167" s="49"/>
    </row>
    <row r="168" spans="1:11">
      <c r="A168" s="22"/>
      <c r="B168" s="41"/>
      <c r="C168" s="49">
        <v>2</v>
      </c>
      <c r="D168" s="49" t="str">
        <f>IFERROR(VLOOKUP(C168,实验列表!A:B,2,FALSE),"")</f>
        <v>光电效应普朗克常数</v>
      </c>
      <c r="E168" s="49" t="s">
        <v>9</v>
      </c>
      <c r="F168" s="49"/>
      <c r="G168" s="49"/>
      <c r="H168" s="49"/>
      <c r="I168" s="49"/>
      <c r="J168" s="49" t="s">
        <v>9</v>
      </c>
      <c r="K168" s="49"/>
    </row>
    <row r="169" spans="1:11">
      <c r="A169" s="22"/>
      <c r="B169" s="41"/>
      <c r="C169" s="34">
        <v>3</v>
      </c>
      <c r="D169" s="35" t="str">
        <f>IFERROR(VLOOKUP(C169,实验列表!A:B,2,FALSE),"")</f>
        <v>光的偏振</v>
      </c>
      <c r="E169" s="67"/>
      <c r="F169" s="49"/>
      <c r="G169" s="49"/>
      <c r="H169" s="49"/>
      <c r="I169" s="49"/>
      <c r="J169" s="49" t="s">
        <v>20</v>
      </c>
      <c r="K169" s="49" t="s">
        <v>20</v>
      </c>
    </row>
    <row r="170" ht="18.75" spans="1:11">
      <c r="A170" s="22"/>
      <c r="B170" s="41"/>
      <c r="C170" s="34">
        <v>4</v>
      </c>
      <c r="D170" s="35" t="str">
        <f>IFERROR(VLOOKUP(C170,实验列表!A:B,2,FALSE),"")</f>
        <v>光的干涉</v>
      </c>
      <c r="E170" s="49"/>
      <c r="F170" s="49"/>
      <c r="G170" s="49" t="s">
        <v>19</v>
      </c>
      <c r="H170" s="49"/>
      <c r="I170" s="49"/>
      <c r="J170" s="49"/>
      <c r="K170" s="49"/>
    </row>
    <row r="171" hidden="1" spans="1:11">
      <c r="A171" s="22"/>
      <c r="B171" s="41"/>
      <c r="C171" s="34">
        <v>5</v>
      </c>
      <c r="D171" s="35" t="str">
        <f>IFERROR(VLOOKUP(C171,实验列表!A:B,2,FALSE),"")</f>
        <v/>
      </c>
      <c r="E171" s="49"/>
      <c r="F171" s="49"/>
      <c r="G171" s="49"/>
      <c r="H171" s="49"/>
      <c r="I171" s="49"/>
      <c r="J171" s="49"/>
      <c r="K171" s="49"/>
    </row>
    <row r="172" ht="18.75" hidden="1" spans="1:11">
      <c r="A172" s="37"/>
      <c r="B172" s="42"/>
      <c r="C172" s="39">
        <v>6</v>
      </c>
      <c r="D172" s="40" t="str">
        <f>IFERROR(VLOOKUP(C172,实验列表!A:B,2,FALSE),"")</f>
        <v/>
      </c>
      <c r="E172" s="57"/>
      <c r="F172" s="53"/>
      <c r="G172" s="53"/>
      <c r="H172" s="53"/>
      <c r="I172" s="53"/>
      <c r="J172" s="53"/>
      <c r="K172" s="57"/>
    </row>
    <row r="173" ht="18.75" spans="1:11">
      <c r="A173" s="18" t="str">
        <f>"第"&amp;MID(A154,2,FIND("周",A154)-2)+1&amp;"周"</f>
        <v>第14周</v>
      </c>
      <c r="B173" s="19"/>
      <c r="C173" s="20" t="s">
        <v>0</v>
      </c>
      <c r="D173" s="21"/>
      <c r="E173" s="43" t="s">
        <v>1</v>
      </c>
      <c r="F173" s="43" t="s">
        <v>2</v>
      </c>
      <c r="G173" s="43" t="s">
        <v>3</v>
      </c>
      <c r="H173" s="43" t="s">
        <v>4</v>
      </c>
      <c r="I173" s="43" t="s">
        <v>5</v>
      </c>
      <c r="J173" s="43" t="s">
        <v>6</v>
      </c>
      <c r="K173" s="43" t="s">
        <v>7</v>
      </c>
    </row>
    <row r="174" customHeight="1" spans="1:11">
      <c r="A174" s="22" t="str">
        <f>VLOOKUP(A173,校历!B:F,4,FALSE)</f>
        <v>11.18-11.24</v>
      </c>
      <c r="B174" s="23" t="str">
        <f>"上午"&amp;CHAR(10)&amp;VLOOKUP("上午时间",参数表!A:B,2,FALSE)</f>
        <v>上午
9:55-12:10</v>
      </c>
      <c r="C174" s="24">
        <v>1</v>
      </c>
      <c r="D174" s="25" t="str">
        <f>IFERROR(VLOOKUP(C174,实验列表!A:B,2,FALSE),"")</f>
        <v>光栅光谱实验</v>
      </c>
      <c r="E174" s="46" t="s">
        <v>21</v>
      </c>
      <c r="F174" s="46" t="s">
        <v>21</v>
      </c>
      <c r="G174" s="45"/>
      <c r="H174" s="46" t="s">
        <v>21</v>
      </c>
      <c r="I174" s="46" t="s">
        <v>21</v>
      </c>
      <c r="J174" s="46"/>
      <c r="K174" s="61"/>
    </row>
    <row r="175" spans="1:11">
      <c r="A175" s="22"/>
      <c r="B175" s="26"/>
      <c r="C175" s="46">
        <v>2</v>
      </c>
      <c r="D175" s="46" t="str">
        <f>IFERROR(VLOOKUP(C175,实验列表!A:B,2,FALSE),"")</f>
        <v>光电效应普朗克常数</v>
      </c>
      <c r="E175" s="46"/>
      <c r="F175" s="46"/>
      <c r="G175" s="45"/>
      <c r="H175" s="46"/>
      <c r="I175" s="46"/>
      <c r="J175" s="46" t="s">
        <v>11</v>
      </c>
      <c r="K175" s="61"/>
    </row>
    <row r="176" spans="1:11">
      <c r="A176" s="22"/>
      <c r="B176" s="26"/>
      <c r="C176" s="24">
        <v>3</v>
      </c>
      <c r="D176" s="25" t="str">
        <f>IFERROR(VLOOKUP(C176,实验列表!A:B,2,FALSE),"")</f>
        <v>光的偏振</v>
      </c>
      <c r="E176" s="66"/>
      <c r="F176" s="46" t="s">
        <v>15</v>
      </c>
      <c r="G176" s="45"/>
      <c r="H176" s="46" t="s">
        <v>15</v>
      </c>
      <c r="I176" s="46" t="s">
        <v>15</v>
      </c>
      <c r="J176" s="46"/>
      <c r="K176" s="61"/>
    </row>
    <row r="177" spans="1:11">
      <c r="A177" s="22"/>
      <c r="B177" s="26"/>
      <c r="C177" s="24">
        <v>4</v>
      </c>
      <c r="D177" s="25" t="str">
        <f>IFERROR(VLOOKUP(C177,实验列表!A:B,2,FALSE),"")</f>
        <v>光的干涉</v>
      </c>
      <c r="E177" s="46"/>
      <c r="F177" s="46"/>
      <c r="G177" s="45"/>
      <c r="H177" s="46"/>
      <c r="I177" s="46"/>
      <c r="J177" s="46"/>
      <c r="K177" s="61"/>
    </row>
    <row r="178" hidden="1" spans="1:11">
      <c r="A178" s="22"/>
      <c r="B178" s="26"/>
      <c r="C178" s="24">
        <v>5</v>
      </c>
      <c r="D178" s="25" t="str">
        <f>IFERROR(VLOOKUP(C178,实验列表!A:B,2,FALSE),"")</f>
        <v/>
      </c>
      <c r="E178" s="46"/>
      <c r="F178" s="46"/>
      <c r="G178" s="46"/>
      <c r="H178" s="46"/>
      <c r="I178" s="46"/>
      <c r="J178" s="46"/>
      <c r="K178" s="61"/>
    </row>
    <row r="179" hidden="1" spans="1:11">
      <c r="A179" s="22"/>
      <c r="B179" s="27"/>
      <c r="C179" s="24">
        <v>6</v>
      </c>
      <c r="D179" s="25" t="str">
        <f>IFERROR(VLOOKUP(C179,实验列表!A:B,2,FALSE),"")</f>
        <v/>
      </c>
      <c r="E179" s="46"/>
      <c r="F179" s="46"/>
      <c r="G179" s="46"/>
      <c r="H179" s="46"/>
      <c r="I179" s="46"/>
      <c r="J179" s="46"/>
      <c r="K179" s="61"/>
    </row>
    <row r="180" customHeight="1" spans="1:11">
      <c r="A180" s="22"/>
      <c r="B180" s="28" t="str">
        <f>"下午"&amp;CHAR(10)&amp;VLOOKUP("下午时间",参数表!A:B,2,FALSE)</f>
        <v>下午
3:15-5:30</v>
      </c>
      <c r="C180" s="29">
        <v>1</v>
      </c>
      <c r="D180" s="30" t="str">
        <f>IFERROR(VLOOKUP(C180,实验列表!A:B,2,FALSE),"")</f>
        <v>光栅光谱实验</v>
      </c>
      <c r="E180" s="55" t="s">
        <v>21</v>
      </c>
      <c r="F180" s="47" t="s">
        <v>21</v>
      </c>
      <c r="G180" s="47"/>
      <c r="H180" s="47" t="s">
        <v>21</v>
      </c>
      <c r="I180" s="47" t="s">
        <v>21</v>
      </c>
      <c r="J180" s="47"/>
      <c r="K180" s="55"/>
    </row>
    <row r="181" spans="1:11">
      <c r="A181" s="22"/>
      <c r="B181" s="31"/>
      <c r="C181" s="47">
        <v>2</v>
      </c>
      <c r="D181" s="47" t="str">
        <f>IFERROR(VLOOKUP(C181,实验列表!A:B,2,FALSE),"")</f>
        <v>光电效应普朗克常数</v>
      </c>
      <c r="E181" s="55"/>
      <c r="F181" s="47"/>
      <c r="G181" s="47"/>
      <c r="H181" s="47"/>
      <c r="I181" s="47"/>
      <c r="J181" s="47" t="s">
        <v>11</v>
      </c>
      <c r="K181" s="55"/>
    </row>
    <row r="182" spans="1:11">
      <c r="A182" s="22"/>
      <c r="B182" s="31"/>
      <c r="C182" s="29">
        <v>3</v>
      </c>
      <c r="D182" s="30" t="str">
        <f>IFERROR(VLOOKUP(C182,实验列表!A:B,2,FALSE),"")</f>
        <v>光的偏振</v>
      </c>
      <c r="E182" s="55"/>
      <c r="F182" s="47" t="s">
        <v>15</v>
      </c>
      <c r="G182" s="47"/>
      <c r="H182" s="47" t="s">
        <v>15</v>
      </c>
      <c r="I182" s="47" t="s">
        <v>15</v>
      </c>
      <c r="J182" s="66"/>
      <c r="K182" s="55" t="s">
        <v>20</v>
      </c>
    </row>
    <row r="183" spans="1:11">
      <c r="A183" s="22"/>
      <c r="B183" s="31"/>
      <c r="C183" s="29">
        <v>4</v>
      </c>
      <c r="D183" s="30" t="str">
        <f>IFERROR(VLOOKUP(C183,实验列表!A:B,2,FALSE),"")</f>
        <v>光的干涉</v>
      </c>
      <c r="E183" s="55"/>
      <c r="F183" s="47"/>
      <c r="G183" s="47" t="s">
        <v>19</v>
      </c>
      <c r="H183" s="47" t="s">
        <v>18</v>
      </c>
      <c r="I183" s="47" t="s">
        <v>18</v>
      </c>
      <c r="J183" s="47"/>
      <c r="K183" s="55"/>
    </row>
    <row r="184" hidden="1" spans="1:11">
      <c r="A184" s="22"/>
      <c r="B184" s="31"/>
      <c r="C184" s="29">
        <v>5</v>
      </c>
      <c r="D184" s="30" t="str">
        <f>IFERROR(VLOOKUP(C184,实验列表!A:B,2,FALSE),"")</f>
        <v/>
      </c>
      <c r="E184" s="55"/>
      <c r="F184" s="47"/>
      <c r="G184" s="47"/>
      <c r="H184" s="47"/>
      <c r="I184" s="47"/>
      <c r="J184" s="47"/>
      <c r="K184" s="55"/>
    </row>
    <row r="185" hidden="1" spans="1:11">
      <c r="A185" s="22"/>
      <c r="B185" s="32"/>
      <c r="C185" s="29">
        <v>6</v>
      </c>
      <c r="D185" s="30" t="str">
        <f>IFERROR(VLOOKUP(C185,实验列表!A:B,2,FALSE),"")</f>
        <v/>
      </c>
      <c r="E185" s="55"/>
      <c r="F185" s="47"/>
      <c r="G185" s="47"/>
      <c r="H185" s="47"/>
      <c r="I185" s="47"/>
      <c r="J185" s="47"/>
      <c r="K185" s="55"/>
    </row>
    <row r="186" customHeight="1" spans="1:11">
      <c r="A186" s="22"/>
      <c r="B186" s="33" t="str">
        <f>"晚上"&amp;CHAR(10)&amp;VLOOKUP("晚上时间",参数表!A:B,2,FALSE)</f>
        <v>晚上
6:30-8:45</v>
      </c>
      <c r="C186" s="34">
        <v>1</v>
      </c>
      <c r="D186" s="35" t="str">
        <f>IFERROR(VLOOKUP(C186,实验列表!A:B,2,FALSE),"")</f>
        <v>光栅光谱实验</v>
      </c>
      <c r="E186" s="49" t="s">
        <v>21</v>
      </c>
      <c r="F186" s="49" t="s">
        <v>21</v>
      </c>
      <c r="G186" s="49"/>
      <c r="H186" s="49" t="s">
        <v>21</v>
      </c>
      <c r="I186" s="49" t="s">
        <v>21</v>
      </c>
      <c r="J186" s="49"/>
      <c r="K186" s="49"/>
    </row>
    <row r="187" spans="1:11">
      <c r="A187" s="22"/>
      <c r="B187" s="41"/>
      <c r="C187" s="49">
        <v>2</v>
      </c>
      <c r="D187" s="49" t="str">
        <f>IFERROR(VLOOKUP(C187,实验列表!A:B,2,FALSE),"")</f>
        <v>光电效应普朗克常数</v>
      </c>
      <c r="E187" s="49"/>
      <c r="F187" s="49"/>
      <c r="G187" s="49"/>
      <c r="H187" s="49"/>
      <c r="I187" s="49"/>
      <c r="J187" s="49" t="s">
        <v>11</v>
      </c>
      <c r="K187" s="49"/>
    </row>
    <row r="188" spans="1:11">
      <c r="A188" s="22"/>
      <c r="B188" s="41"/>
      <c r="C188" s="34">
        <v>3</v>
      </c>
      <c r="D188" s="35" t="str">
        <f>IFERROR(VLOOKUP(C188,实验列表!A:B,2,FALSE),"")</f>
        <v>光的偏振</v>
      </c>
      <c r="E188" s="67"/>
      <c r="F188" s="49"/>
      <c r="G188" s="49"/>
      <c r="H188" s="49"/>
      <c r="I188" s="49"/>
      <c r="J188" s="49" t="s">
        <v>20</v>
      </c>
      <c r="K188" s="49" t="s">
        <v>20</v>
      </c>
    </row>
    <row r="189" ht="18.75" spans="1:11">
      <c r="A189" s="22"/>
      <c r="B189" s="41"/>
      <c r="C189" s="34">
        <v>4</v>
      </c>
      <c r="D189" s="35" t="str">
        <f>IFERROR(VLOOKUP(C189,实验列表!A:B,2,FALSE),"")</f>
        <v>光的干涉</v>
      </c>
      <c r="E189" s="49"/>
      <c r="F189" s="49"/>
      <c r="G189" s="49" t="s">
        <v>19</v>
      </c>
      <c r="H189" s="49"/>
      <c r="I189" s="49"/>
      <c r="J189" s="49"/>
      <c r="K189" s="49"/>
    </row>
    <row r="190" hidden="1" spans="1:11">
      <c r="A190" s="22"/>
      <c r="B190" s="41"/>
      <c r="C190" s="34">
        <v>5</v>
      </c>
      <c r="D190" s="35" t="str">
        <f>IFERROR(VLOOKUP(C190,实验列表!A:B,2,FALSE),"")</f>
        <v/>
      </c>
      <c r="E190" s="49"/>
      <c r="F190" s="49"/>
      <c r="G190" s="49"/>
      <c r="H190" s="49"/>
      <c r="I190" s="49"/>
      <c r="J190" s="49"/>
      <c r="K190" s="49"/>
    </row>
    <row r="191" ht="18.75" hidden="1" spans="1:11">
      <c r="A191" s="37"/>
      <c r="B191" s="42"/>
      <c r="C191" s="39">
        <v>6</v>
      </c>
      <c r="D191" s="40" t="str">
        <f>IFERROR(VLOOKUP(C191,实验列表!A:B,2,FALSE),"")</f>
        <v/>
      </c>
      <c r="E191" s="57"/>
      <c r="F191" s="53"/>
      <c r="G191" s="53"/>
      <c r="H191" s="53"/>
      <c r="I191" s="53"/>
      <c r="J191" s="53"/>
      <c r="K191" s="57"/>
    </row>
    <row r="192" ht="18.75" spans="1:11">
      <c r="A192" s="18" t="str">
        <f>"第"&amp;MID(A173,2,FIND("周",A173)-2)+1&amp;"周"</f>
        <v>第15周</v>
      </c>
      <c r="B192" s="19"/>
      <c r="C192" s="20" t="s">
        <v>0</v>
      </c>
      <c r="D192" s="21"/>
      <c r="E192" s="43" t="s">
        <v>1</v>
      </c>
      <c r="F192" s="43" t="s">
        <v>2</v>
      </c>
      <c r="G192" s="43" t="s">
        <v>3</v>
      </c>
      <c r="H192" s="43" t="s">
        <v>4</v>
      </c>
      <c r="I192" s="43" t="s">
        <v>5</v>
      </c>
      <c r="J192" s="43" t="s">
        <v>6</v>
      </c>
      <c r="K192" s="43" t="s">
        <v>7</v>
      </c>
    </row>
    <row r="193" customHeight="1" spans="1:11">
      <c r="A193" s="22" t="str">
        <f>VLOOKUP(A192,校历!B:F,4,FALSE)</f>
        <v>11.25-12.1</v>
      </c>
      <c r="B193" s="23" t="str">
        <f>"上午"&amp;CHAR(10)&amp;VLOOKUP("上午时间",参数表!A:B,2,FALSE)</f>
        <v>上午
9:55-12:10</v>
      </c>
      <c r="C193" s="24">
        <v>1</v>
      </c>
      <c r="D193" s="25" t="str">
        <f>IFERROR(VLOOKUP(C193,实验列表!A:B,2,FALSE),"")</f>
        <v>光栅光谱实验</v>
      </c>
      <c r="E193" s="66"/>
      <c r="F193" s="46" t="s">
        <v>21</v>
      </c>
      <c r="G193" s="46" t="s">
        <v>21</v>
      </c>
      <c r="H193" s="46" t="s">
        <v>21</v>
      </c>
      <c r="I193" s="46"/>
      <c r="J193" s="46"/>
      <c r="K193" s="61"/>
    </row>
    <row r="194" spans="1:11">
      <c r="A194" s="22"/>
      <c r="B194" s="26"/>
      <c r="C194" s="46">
        <v>2</v>
      </c>
      <c r="D194" s="46" t="str">
        <f>IFERROR(VLOOKUP(C194,实验列表!A:B,2,FALSE),"")</f>
        <v>光电效应普朗克常数</v>
      </c>
      <c r="E194" s="46"/>
      <c r="F194" s="46"/>
      <c r="G194" s="46"/>
      <c r="H194" s="46"/>
      <c r="I194" s="46"/>
      <c r="J194" s="46" t="s">
        <v>11</v>
      </c>
      <c r="K194" s="61"/>
    </row>
    <row r="195" spans="1:11">
      <c r="A195" s="22"/>
      <c r="B195" s="26"/>
      <c r="C195" s="24">
        <v>3</v>
      </c>
      <c r="D195" s="25" t="str">
        <f>IFERROR(VLOOKUP(C195,实验列表!A:B,2,FALSE),"")</f>
        <v>光的偏振</v>
      </c>
      <c r="E195" s="46"/>
      <c r="F195" s="46" t="s">
        <v>15</v>
      </c>
      <c r="G195" s="46"/>
      <c r="H195" s="46" t="s">
        <v>15</v>
      </c>
      <c r="I195" s="46"/>
      <c r="J195" s="46"/>
      <c r="K195" s="61"/>
    </row>
    <row r="196" spans="1:11">
      <c r="A196" s="22"/>
      <c r="B196" s="26"/>
      <c r="C196" s="24">
        <v>4</v>
      </c>
      <c r="D196" s="25" t="str">
        <f>IFERROR(VLOOKUP(C196,实验列表!A:B,2,FALSE),"")</f>
        <v>光的干涉</v>
      </c>
      <c r="E196" s="46"/>
      <c r="F196" s="46"/>
      <c r="G196" s="46" t="s">
        <v>19</v>
      </c>
      <c r="H196" s="46"/>
      <c r="I196" s="46"/>
      <c r="J196" s="46" t="s">
        <v>9</v>
      </c>
      <c r="K196" s="61" t="s">
        <v>9</v>
      </c>
    </row>
    <row r="197" hidden="1" spans="1:11">
      <c r="A197" s="22"/>
      <c r="B197" s="26"/>
      <c r="C197" s="24">
        <v>5</v>
      </c>
      <c r="D197" s="25" t="str">
        <f>IFERROR(VLOOKUP(C197,实验列表!A:B,2,FALSE),"")</f>
        <v/>
      </c>
      <c r="E197" s="46"/>
      <c r="F197" s="46"/>
      <c r="G197" s="46"/>
      <c r="H197" s="46"/>
      <c r="I197" s="46"/>
      <c r="J197" s="46"/>
      <c r="K197" s="61"/>
    </row>
    <row r="198" hidden="1" spans="1:11">
      <c r="A198" s="22"/>
      <c r="B198" s="27"/>
      <c r="C198" s="24">
        <v>6</v>
      </c>
      <c r="D198" s="25" t="str">
        <f>IFERROR(VLOOKUP(C198,实验列表!A:B,2,FALSE),"")</f>
        <v/>
      </c>
      <c r="E198" s="46"/>
      <c r="F198" s="46"/>
      <c r="G198" s="46"/>
      <c r="H198" s="46"/>
      <c r="I198" s="46"/>
      <c r="J198" s="46"/>
      <c r="K198" s="61"/>
    </row>
    <row r="199" customHeight="1" spans="1:11">
      <c r="A199" s="22"/>
      <c r="B199" s="28" t="str">
        <f>"下午"&amp;CHAR(10)&amp;VLOOKUP("下午时间",参数表!A:B,2,FALSE)</f>
        <v>下午
3:15-5:30</v>
      </c>
      <c r="C199" s="29">
        <v>1</v>
      </c>
      <c r="D199" s="30" t="str">
        <f>IFERROR(VLOOKUP(C199,实验列表!A:B,2,FALSE),"")</f>
        <v>光栅光谱实验</v>
      </c>
      <c r="E199" s="55"/>
      <c r="F199" s="47" t="s">
        <v>21</v>
      </c>
      <c r="G199" s="47" t="s">
        <v>21</v>
      </c>
      <c r="H199" s="47" t="s">
        <v>21</v>
      </c>
      <c r="I199" s="47"/>
      <c r="J199" s="47"/>
      <c r="K199" s="55"/>
    </row>
    <row r="200" spans="1:11">
      <c r="A200" s="22"/>
      <c r="B200" s="31"/>
      <c r="C200" s="47">
        <v>2</v>
      </c>
      <c r="D200" s="47" t="str">
        <f>IFERROR(VLOOKUP(C200,实验列表!A:B,2,FALSE),"")</f>
        <v>光电效应普朗克常数</v>
      </c>
      <c r="E200" s="55"/>
      <c r="F200" s="47"/>
      <c r="G200" s="47"/>
      <c r="H200" s="47"/>
      <c r="I200" s="47"/>
      <c r="J200" s="47" t="s">
        <v>11</v>
      </c>
      <c r="K200" s="55"/>
    </row>
    <row r="201" spans="1:11">
      <c r="A201" s="22"/>
      <c r="B201" s="31"/>
      <c r="C201" s="29">
        <v>3</v>
      </c>
      <c r="D201" s="30" t="str">
        <f>IFERROR(VLOOKUP(C201,实验列表!A:B,2,FALSE),"")</f>
        <v>光的偏振</v>
      </c>
      <c r="E201" s="55"/>
      <c r="F201" s="47" t="s">
        <v>15</v>
      </c>
      <c r="G201" s="47"/>
      <c r="H201" s="47" t="s">
        <v>15</v>
      </c>
      <c r="I201" s="47"/>
      <c r="J201" s="47" t="s">
        <v>20</v>
      </c>
      <c r="K201" s="55" t="s">
        <v>20</v>
      </c>
    </row>
    <row r="202" spans="1:11">
      <c r="A202" s="22"/>
      <c r="B202" s="31"/>
      <c r="C202" s="29">
        <v>4</v>
      </c>
      <c r="D202" s="30" t="str">
        <f>IFERROR(VLOOKUP(C202,实验列表!A:B,2,FALSE),"")</f>
        <v>光的干涉</v>
      </c>
      <c r="E202" s="55"/>
      <c r="F202" s="47"/>
      <c r="G202" s="47" t="s">
        <v>19</v>
      </c>
      <c r="H202" s="47" t="s">
        <v>18</v>
      </c>
      <c r="I202" s="47" t="s">
        <v>18</v>
      </c>
      <c r="J202" s="47" t="s">
        <v>9</v>
      </c>
      <c r="K202" s="55" t="s">
        <v>9</v>
      </c>
    </row>
    <row r="203" hidden="1" spans="1:11">
      <c r="A203" s="22"/>
      <c r="B203" s="31"/>
      <c r="C203" s="29">
        <v>5</v>
      </c>
      <c r="D203" s="30" t="str">
        <f>IFERROR(VLOOKUP(C203,实验列表!A:B,2,FALSE),"")</f>
        <v/>
      </c>
      <c r="E203" s="55"/>
      <c r="F203" s="47"/>
      <c r="G203" s="47"/>
      <c r="H203" s="47"/>
      <c r="I203" s="47"/>
      <c r="J203" s="47"/>
      <c r="K203" s="55"/>
    </row>
    <row r="204" hidden="1" spans="1:11">
      <c r="A204" s="22"/>
      <c r="B204" s="32"/>
      <c r="C204" s="29">
        <v>6</v>
      </c>
      <c r="D204" s="30" t="str">
        <f>IFERROR(VLOOKUP(C204,实验列表!A:B,2,FALSE),"")</f>
        <v/>
      </c>
      <c r="E204" s="55"/>
      <c r="F204" s="47"/>
      <c r="G204" s="47"/>
      <c r="H204" s="47"/>
      <c r="I204" s="47"/>
      <c r="J204" s="47"/>
      <c r="K204" s="55"/>
    </row>
    <row r="205" customHeight="1" spans="1:11">
      <c r="A205" s="22"/>
      <c r="B205" s="33" t="str">
        <f>"晚上"&amp;CHAR(10)&amp;VLOOKUP("晚上时间",参数表!A:B,2,FALSE)</f>
        <v>晚上
6:30-8:45</v>
      </c>
      <c r="C205" s="34">
        <v>1</v>
      </c>
      <c r="D205" s="35" t="str">
        <f>IFERROR(VLOOKUP(C205,实验列表!A:B,2,FALSE),"")</f>
        <v>光栅光谱实验</v>
      </c>
      <c r="E205" s="67"/>
      <c r="F205" s="49" t="s">
        <v>21</v>
      </c>
      <c r="G205" s="49" t="s">
        <v>21</v>
      </c>
      <c r="H205" s="49" t="s">
        <v>21</v>
      </c>
      <c r="I205" s="49"/>
      <c r="J205" s="49"/>
      <c r="K205" s="49"/>
    </row>
    <row r="206" spans="1:11">
      <c r="A206" s="22"/>
      <c r="B206" s="41"/>
      <c r="C206" s="49">
        <v>2</v>
      </c>
      <c r="D206" s="49" t="str">
        <f>IFERROR(VLOOKUP(C206,实验列表!A:B,2,FALSE),"")</f>
        <v>光电效应普朗克常数</v>
      </c>
      <c r="E206" s="49"/>
      <c r="F206" s="49"/>
      <c r="G206" s="49"/>
      <c r="H206" s="49"/>
      <c r="I206" s="49"/>
      <c r="J206" s="49" t="s">
        <v>11</v>
      </c>
      <c r="K206" s="49"/>
    </row>
    <row r="207" spans="1:11">
      <c r="A207" s="22"/>
      <c r="B207" s="41"/>
      <c r="C207" s="34">
        <v>3</v>
      </c>
      <c r="D207" s="35" t="str">
        <f>IFERROR(VLOOKUP(C207,实验列表!A:B,2,FALSE),"")</f>
        <v>光的偏振</v>
      </c>
      <c r="E207" s="49"/>
      <c r="F207" s="49"/>
      <c r="G207" s="49"/>
      <c r="H207" s="49"/>
      <c r="I207" s="49"/>
      <c r="J207" s="49" t="s">
        <v>20</v>
      </c>
      <c r="K207" s="49" t="s">
        <v>20</v>
      </c>
    </row>
    <row r="208" ht="18.75" spans="1:11">
      <c r="A208" s="22"/>
      <c r="B208" s="41"/>
      <c r="C208" s="34">
        <v>4</v>
      </c>
      <c r="D208" s="35" t="str">
        <f>IFERROR(VLOOKUP(C208,实验列表!A:B,2,FALSE),"")</f>
        <v>光的干涉</v>
      </c>
      <c r="E208" s="49"/>
      <c r="F208" s="49"/>
      <c r="G208" s="49" t="s">
        <v>19</v>
      </c>
      <c r="H208" s="49"/>
      <c r="I208" s="49"/>
      <c r="J208" s="49" t="s">
        <v>9</v>
      </c>
      <c r="K208" s="49" t="s">
        <v>9</v>
      </c>
    </row>
    <row r="209" hidden="1" spans="1:11">
      <c r="A209" s="22"/>
      <c r="B209" s="41"/>
      <c r="C209" s="34">
        <v>5</v>
      </c>
      <c r="D209" s="35" t="str">
        <f>IFERROR(VLOOKUP(C209,实验列表!A:B,2,FALSE),"")</f>
        <v/>
      </c>
      <c r="E209" s="49"/>
      <c r="F209" s="49"/>
      <c r="G209" s="49"/>
      <c r="H209" s="49"/>
      <c r="I209" s="49"/>
      <c r="J209" s="49"/>
      <c r="K209" s="49"/>
    </row>
    <row r="210" ht="18.75" hidden="1" spans="1:11">
      <c r="A210" s="37"/>
      <c r="B210" s="42"/>
      <c r="C210" s="39">
        <v>6</v>
      </c>
      <c r="D210" s="40" t="str">
        <f>IFERROR(VLOOKUP(C210,实验列表!A:B,2,FALSE),"")</f>
        <v/>
      </c>
      <c r="E210" s="57"/>
      <c r="F210" s="53"/>
      <c r="G210" s="53"/>
      <c r="H210" s="53"/>
      <c r="I210" s="53"/>
      <c r="J210" s="53"/>
      <c r="K210" s="57"/>
    </row>
    <row r="211" ht="18.75" spans="1:11">
      <c r="A211" s="18" t="str">
        <f>"第"&amp;MID(A192,2,FIND("周",A192)-2)+1&amp;"周"</f>
        <v>第16周</v>
      </c>
      <c r="B211" s="19"/>
      <c r="C211" s="20" t="s">
        <v>0</v>
      </c>
      <c r="D211" s="21"/>
      <c r="E211" s="43" t="s">
        <v>1</v>
      </c>
      <c r="F211" s="43" t="s">
        <v>2</v>
      </c>
      <c r="G211" s="43" t="s">
        <v>3</v>
      </c>
      <c r="H211" s="43" t="s">
        <v>4</v>
      </c>
      <c r="I211" s="43" t="s">
        <v>5</v>
      </c>
      <c r="J211" s="43" t="s">
        <v>6</v>
      </c>
      <c r="K211" s="43" t="s">
        <v>7</v>
      </c>
    </row>
    <row r="212" customHeight="1" spans="1:11">
      <c r="A212" s="22" t="str">
        <f>VLOOKUP(A211,校历!B:F,4,FALSE)</f>
        <v>12.2-12.8</v>
      </c>
      <c r="B212" s="23" t="str">
        <f>"上午"&amp;CHAR(10)&amp;VLOOKUP("上午时间",参数表!A:B,2,FALSE)</f>
        <v>上午
9:55-12:10</v>
      </c>
      <c r="C212" s="24">
        <v>1</v>
      </c>
      <c r="D212" s="25" t="str">
        <f>IFERROR(VLOOKUP(C212,实验列表!A:B,2,FALSE),"")</f>
        <v>光栅光谱实验</v>
      </c>
      <c r="E212" s="66"/>
      <c r="F212" s="46" t="s">
        <v>21</v>
      </c>
      <c r="G212" s="46" t="s">
        <v>21</v>
      </c>
      <c r="H212" s="46"/>
      <c r="I212" s="46"/>
      <c r="J212" s="46"/>
      <c r="K212" s="61"/>
    </row>
    <row r="213" spans="1:11">
      <c r="A213" s="22"/>
      <c r="B213" s="26"/>
      <c r="C213" s="46">
        <v>2</v>
      </c>
      <c r="D213" s="46" t="str">
        <f>IFERROR(VLOOKUP(C213,实验列表!A:B,2,FALSE),"")</f>
        <v>光电效应普朗克常数</v>
      </c>
      <c r="E213" s="46"/>
      <c r="F213" s="46"/>
      <c r="G213" s="46"/>
      <c r="H213" s="46"/>
      <c r="I213" s="46"/>
      <c r="J213" s="46" t="s">
        <v>22</v>
      </c>
      <c r="K213" s="61" t="s">
        <v>22</v>
      </c>
    </row>
    <row r="214" spans="1:11">
      <c r="A214" s="22"/>
      <c r="B214" s="26"/>
      <c r="C214" s="24">
        <v>3</v>
      </c>
      <c r="D214" s="25" t="str">
        <f>IFERROR(VLOOKUP(C214,实验列表!A:B,2,FALSE),"")</f>
        <v>光的偏振</v>
      </c>
      <c r="E214" s="46"/>
      <c r="F214" s="46"/>
      <c r="G214" s="46"/>
      <c r="H214" s="46" t="s">
        <v>21</v>
      </c>
      <c r="I214" s="46" t="s">
        <v>21</v>
      </c>
      <c r="J214" s="46" t="s">
        <v>23</v>
      </c>
      <c r="K214" s="61" t="s">
        <v>23</v>
      </c>
    </row>
    <row r="215" spans="1:11">
      <c r="A215" s="22"/>
      <c r="B215" s="26"/>
      <c r="C215" s="24">
        <v>4</v>
      </c>
      <c r="D215" s="25" t="str">
        <f>IFERROR(VLOOKUP(C215,实验列表!A:B,2,FALSE),"")</f>
        <v>光的干涉</v>
      </c>
      <c r="E215" s="46" t="s">
        <v>9</v>
      </c>
      <c r="F215" s="46"/>
      <c r="G215" s="46" t="s">
        <v>19</v>
      </c>
      <c r="H215" s="46"/>
      <c r="I215" s="46"/>
      <c r="J215" s="46"/>
      <c r="K215" s="61"/>
    </row>
    <row r="216" hidden="1" spans="1:11">
      <c r="A216" s="22"/>
      <c r="B216" s="26"/>
      <c r="C216" s="24">
        <v>5</v>
      </c>
      <c r="D216" s="25" t="str">
        <f>IFERROR(VLOOKUP(C216,实验列表!A:B,2,FALSE),"")</f>
        <v/>
      </c>
      <c r="E216" s="46"/>
      <c r="F216" s="46"/>
      <c r="G216" s="46"/>
      <c r="H216" s="46"/>
      <c r="I216" s="46"/>
      <c r="J216" s="46"/>
      <c r="K216" s="61"/>
    </row>
    <row r="217" hidden="1" spans="1:11">
      <c r="A217" s="22"/>
      <c r="B217" s="27"/>
      <c r="C217" s="24">
        <v>6</v>
      </c>
      <c r="D217" s="25" t="str">
        <f>IFERROR(VLOOKUP(C217,实验列表!A:B,2,FALSE),"")</f>
        <v/>
      </c>
      <c r="E217" s="46"/>
      <c r="F217" s="46"/>
      <c r="G217" s="46"/>
      <c r="H217" s="46"/>
      <c r="I217" s="46"/>
      <c r="J217" s="46"/>
      <c r="K217" s="61"/>
    </row>
    <row r="218" customHeight="1" spans="1:11">
      <c r="A218" s="22"/>
      <c r="B218" s="28" t="str">
        <f>"下午"&amp;CHAR(10)&amp;VLOOKUP("下午时间",参数表!A:B,2,FALSE)</f>
        <v>下午
3:15-5:30</v>
      </c>
      <c r="C218" s="29">
        <v>1</v>
      </c>
      <c r="D218" s="30" t="str">
        <f>IFERROR(VLOOKUP(C218,实验列表!A:B,2,FALSE),"")</f>
        <v>光栅光谱实验</v>
      </c>
      <c r="E218" s="55"/>
      <c r="F218" s="47" t="s">
        <v>21</v>
      </c>
      <c r="G218" s="47" t="s">
        <v>21</v>
      </c>
      <c r="H218" s="47"/>
      <c r="I218" s="47"/>
      <c r="J218" s="66"/>
      <c r="K218" s="55"/>
    </row>
    <row r="219" spans="1:11">
      <c r="A219" s="22"/>
      <c r="B219" s="31"/>
      <c r="C219" s="47">
        <v>2</v>
      </c>
      <c r="D219" s="47" t="str">
        <f>IFERROR(VLOOKUP(C219,实验列表!A:B,2,FALSE),"")</f>
        <v>光电效应普朗克常数</v>
      </c>
      <c r="E219" s="55"/>
      <c r="F219" s="47"/>
      <c r="G219" s="47"/>
      <c r="H219" s="47"/>
      <c r="I219" s="47"/>
      <c r="J219" s="47" t="s">
        <v>22</v>
      </c>
      <c r="K219" s="55" t="s">
        <v>22</v>
      </c>
    </row>
    <row r="220" spans="1:11">
      <c r="A220" s="22"/>
      <c r="B220" s="31"/>
      <c r="C220" s="29">
        <v>3</v>
      </c>
      <c r="D220" s="30" t="str">
        <f>IFERROR(VLOOKUP(C220,实验列表!A:B,2,FALSE),"")</f>
        <v>光的偏振</v>
      </c>
      <c r="E220" s="55"/>
      <c r="F220" s="47"/>
      <c r="G220" s="47"/>
      <c r="H220" s="47" t="s">
        <v>21</v>
      </c>
      <c r="I220" s="47" t="s">
        <v>21</v>
      </c>
      <c r="J220" s="47" t="s">
        <v>23</v>
      </c>
      <c r="K220" s="55" t="s">
        <v>23</v>
      </c>
    </row>
    <row r="221" spans="1:11">
      <c r="A221" s="22"/>
      <c r="B221" s="31"/>
      <c r="C221" s="29">
        <v>4</v>
      </c>
      <c r="D221" s="30" t="str">
        <f>IFERROR(VLOOKUP(C221,实验列表!A:B,2,FALSE),"")</f>
        <v>光的干涉</v>
      </c>
      <c r="E221" s="55" t="s">
        <v>9</v>
      </c>
      <c r="F221" s="47"/>
      <c r="G221" s="47" t="s">
        <v>19</v>
      </c>
      <c r="H221" s="47" t="s">
        <v>18</v>
      </c>
      <c r="I221" s="47" t="s">
        <v>18</v>
      </c>
      <c r="J221" s="47"/>
      <c r="K221" s="55"/>
    </row>
    <row r="222" hidden="1" spans="1:11">
      <c r="A222" s="22"/>
      <c r="B222" s="31"/>
      <c r="C222" s="29">
        <v>5</v>
      </c>
      <c r="D222" s="30" t="str">
        <f>IFERROR(VLOOKUP(C222,实验列表!A:B,2,FALSE),"")</f>
        <v/>
      </c>
      <c r="E222" s="55"/>
      <c r="F222" s="47"/>
      <c r="G222" s="47"/>
      <c r="H222" s="47"/>
      <c r="I222" s="47"/>
      <c r="J222" s="47"/>
      <c r="K222" s="55"/>
    </row>
    <row r="223" hidden="1" spans="1:11">
      <c r="A223" s="22"/>
      <c r="B223" s="32"/>
      <c r="C223" s="29">
        <v>6</v>
      </c>
      <c r="D223" s="30" t="str">
        <f>IFERROR(VLOOKUP(C223,实验列表!A:B,2,FALSE),"")</f>
        <v/>
      </c>
      <c r="E223" s="55"/>
      <c r="F223" s="47"/>
      <c r="G223" s="47"/>
      <c r="H223" s="47"/>
      <c r="I223" s="47"/>
      <c r="J223" s="47"/>
      <c r="K223" s="55"/>
    </row>
    <row r="224" customHeight="1" spans="1:11">
      <c r="A224" s="22"/>
      <c r="B224" s="33" t="str">
        <f>"晚上"&amp;CHAR(10)&amp;VLOOKUP("晚上时间",参数表!A:B,2,FALSE)</f>
        <v>晚上
6:30-8:45</v>
      </c>
      <c r="C224" s="34">
        <v>1</v>
      </c>
      <c r="D224" s="35" t="str">
        <f>IFERROR(VLOOKUP(C224,实验列表!A:B,2,FALSE),"")</f>
        <v>光栅光谱实验</v>
      </c>
      <c r="E224" s="67"/>
      <c r="F224" s="49" t="s">
        <v>21</v>
      </c>
      <c r="G224" s="49" t="s">
        <v>21</v>
      </c>
      <c r="H224" s="49"/>
      <c r="I224" s="49"/>
      <c r="J224" s="49"/>
      <c r="K224" s="49"/>
    </row>
    <row r="225" spans="1:11">
      <c r="A225" s="22"/>
      <c r="B225" s="41"/>
      <c r="C225" s="49">
        <v>2</v>
      </c>
      <c r="D225" s="49" t="str">
        <f>IFERROR(VLOOKUP(C225,实验列表!A:B,2,FALSE),"")</f>
        <v>光电效应普朗克常数</v>
      </c>
      <c r="E225" s="49"/>
      <c r="F225" s="49"/>
      <c r="G225" s="49"/>
      <c r="H225" s="49"/>
      <c r="I225" s="49"/>
      <c r="J225" s="49" t="s">
        <v>22</v>
      </c>
      <c r="K225" s="49" t="s">
        <v>22</v>
      </c>
    </row>
    <row r="226" spans="1:11">
      <c r="A226" s="22"/>
      <c r="B226" s="41"/>
      <c r="C226" s="34">
        <v>3</v>
      </c>
      <c r="D226" s="35" t="str">
        <f>IFERROR(VLOOKUP(C226,实验列表!A:B,2,FALSE),"")</f>
        <v>光的偏振</v>
      </c>
      <c r="E226" s="49"/>
      <c r="F226" s="49"/>
      <c r="G226" s="49"/>
      <c r="H226" s="49" t="s">
        <v>21</v>
      </c>
      <c r="I226" s="49" t="s">
        <v>21</v>
      </c>
      <c r="J226" s="49" t="s">
        <v>23</v>
      </c>
      <c r="K226" s="49" t="s">
        <v>23</v>
      </c>
    </row>
    <row r="227" ht="18.75" spans="1:11">
      <c r="A227" s="22"/>
      <c r="B227" s="41"/>
      <c r="C227" s="34">
        <v>4</v>
      </c>
      <c r="D227" s="35" t="str">
        <f>IFERROR(VLOOKUP(C227,实验列表!A:B,2,FALSE),"")</f>
        <v>光的干涉</v>
      </c>
      <c r="E227" s="49" t="s">
        <v>9</v>
      </c>
      <c r="F227" s="49"/>
      <c r="G227" s="49" t="s">
        <v>19</v>
      </c>
      <c r="H227" s="49"/>
      <c r="I227" s="49"/>
      <c r="J227" s="49"/>
      <c r="K227" s="49"/>
    </row>
    <row r="228" hidden="1" spans="1:11">
      <c r="A228" s="22"/>
      <c r="B228" s="41"/>
      <c r="C228" s="34">
        <v>5</v>
      </c>
      <c r="D228" s="35" t="str">
        <f>IFERROR(VLOOKUP(C228,实验列表!A:B,2,FALSE),"")</f>
        <v/>
      </c>
      <c r="E228" s="49"/>
      <c r="F228" s="49"/>
      <c r="G228" s="49"/>
      <c r="H228" s="49"/>
      <c r="I228" s="49"/>
      <c r="J228" s="49"/>
      <c r="K228" s="49"/>
    </row>
    <row r="229" ht="18.75" hidden="1" spans="1:11">
      <c r="A229" s="37"/>
      <c r="B229" s="42"/>
      <c r="C229" s="39">
        <v>6</v>
      </c>
      <c r="D229" s="40" t="str">
        <f>IFERROR(VLOOKUP(C229,实验列表!A:B,2,FALSE),"")</f>
        <v/>
      </c>
      <c r="E229" s="57"/>
      <c r="F229" s="53"/>
      <c r="G229" s="53"/>
      <c r="H229" s="53"/>
      <c r="I229" s="53"/>
      <c r="J229" s="53"/>
      <c r="K229" s="57"/>
    </row>
    <row r="230" ht="18.75" spans="1:11">
      <c r="A230" s="18" t="str">
        <f>"第"&amp;MID(A211,2,FIND("周",A211)-2)+1&amp;"周"</f>
        <v>第17周</v>
      </c>
      <c r="B230" s="19"/>
      <c r="C230" s="20" t="s">
        <v>0</v>
      </c>
      <c r="D230" s="21"/>
      <c r="E230" s="43" t="s">
        <v>1</v>
      </c>
      <c r="F230" s="43" t="s">
        <v>2</v>
      </c>
      <c r="G230" s="43" t="s">
        <v>3</v>
      </c>
      <c r="H230" s="43" t="s">
        <v>4</v>
      </c>
      <c r="I230" s="43" t="s">
        <v>5</v>
      </c>
      <c r="J230" s="43" t="s">
        <v>6</v>
      </c>
      <c r="K230" s="43" t="s">
        <v>7</v>
      </c>
    </row>
    <row r="231" customHeight="1" spans="1:11">
      <c r="A231" s="22" t="str">
        <f>VLOOKUP(A230,校历!B:F,4,FALSE)</f>
        <v>12.9-12.15</v>
      </c>
      <c r="B231" s="23" t="str">
        <f>"上午"&amp;CHAR(10)&amp;VLOOKUP("上午时间",参数表!A:B,2,FALSE)</f>
        <v>上午
9:55-12:10</v>
      </c>
      <c r="C231" s="24">
        <v>1</v>
      </c>
      <c r="D231" s="25" t="str">
        <f>IFERROR(VLOOKUP(C231,实验列表!A:B,2,FALSE),"")</f>
        <v>光栅光谱实验</v>
      </c>
      <c r="E231" s="46" t="s">
        <v>21</v>
      </c>
      <c r="F231" s="46" t="s">
        <v>21</v>
      </c>
      <c r="G231" s="46" t="s">
        <v>21</v>
      </c>
      <c r="H231" s="46"/>
      <c r="I231" s="46"/>
      <c r="J231" s="46"/>
      <c r="K231" s="61"/>
    </row>
    <row r="232" spans="1:11">
      <c r="A232" s="22"/>
      <c r="B232" s="26"/>
      <c r="C232" s="46">
        <v>2</v>
      </c>
      <c r="D232" s="46" t="str">
        <f>IFERROR(VLOOKUP(C232,实验列表!A:B,2,FALSE),"")</f>
        <v>光电效应普朗克常数</v>
      </c>
      <c r="E232" s="66"/>
      <c r="F232" s="46" t="s">
        <v>22</v>
      </c>
      <c r="G232" s="46" t="s">
        <v>22</v>
      </c>
      <c r="H232" s="46"/>
      <c r="I232" s="46"/>
      <c r="J232" s="46"/>
      <c r="K232" s="61"/>
    </row>
    <row r="233" spans="1:11">
      <c r="A233" s="22"/>
      <c r="B233" s="26"/>
      <c r="C233" s="24">
        <v>3</v>
      </c>
      <c r="D233" s="25" t="str">
        <f>IFERROR(VLOOKUP(C233,实验列表!A:B,2,FALSE),"")</f>
        <v>光的偏振</v>
      </c>
      <c r="E233" s="46"/>
      <c r="F233" s="46"/>
      <c r="G233" s="46"/>
      <c r="H233" s="46" t="s">
        <v>21</v>
      </c>
      <c r="I233" s="46" t="s">
        <v>21</v>
      </c>
      <c r="J233" s="46" t="s">
        <v>23</v>
      </c>
      <c r="K233" s="61" t="s">
        <v>23</v>
      </c>
    </row>
    <row r="234" spans="1:11">
      <c r="A234" s="22"/>
      <c r="B234" s="26"/>
      <c r="C234" s="24">
        <v>4</v>
      </c>
      <c r="D234" s="25" t="str">
        <f>IFERROR(VLOOKUP(C234,实验列表!A:B,2,FALSE),"")</f>
        <v>光的干涉</v>
      </c>
      <c r="E234" s="46"/>
      <c r="F234" s="46"/>
      <c r="G234" s="46"/>
      <c r="H234" s="46"/>
      <c r="I234" s="46"/>
      <c r="J234" s="46"/>
      <c r="K234" s="61"/>
    </row>
    <row r="235" hidden="1" spans="1:11">
      <c r="A235" s="22"/>
      <c r="B235" s="26"/>
      <c r="C235" s="24">
        <v>5</v>
      </c>
      <c r="D235" s="25" t="str">
        <f>IFERROR(VLOOKUP(C235,实验列表!A:B,2,FALSE),"")</f>
        <v/>
      </c>
      <c r="E235" s="46"/>
      <c r="F235" s="46"/>
      <c r="G235" s="46"/>
      <c r="H235" s="46"/>
      <c r="I235" s="46"/>
      <c r="J235" s="46"/>
      <c r="K235" s="61"/>
    </row>
    <row r="236" hidden="1" spans="1:11">
      <c r="A236" s="22"/>
      <c r="B236" s="27"/>
      <c r="C236" s="24">
        <v>6</v>
      </c>
      <c r="D236" s="25" t="str">
        <f>IFERROR(VLOOKUP(C236,实验列表!A:B,2,FALSE),"")</f>
        <v/>
      </c>
      <c r="E236" s="46"/>
      <c r="F236" s="46"/>
      <c r="G236" s="46"/>
      <c r="H236" s="46"/>
      <c r="I236" s="46"/>
      <c r="J236" s="46"/>
      <c r="K236" s="61"/>
    </row>
    <row r="237" customHeight="1" spans="1:11">
      <c r="A237" s="22"/>
      <c r="B237" s="28" t="str">
        <f>"下午"&amp;CHAR(10)&amp;VLOOKUP("下午时间",参数表!A:B,2,FALSE)</f>
        <v>下午
3:15-5:30</v>
      </c>
      <c r="C237" s="29">
        <v>1</v>
      </c>
      <c r="D237" s="30" t="str">
        <f>IFERROR(VLOOKUP(C237,实验列表!A:B,2,FALSE),"")</f>
        <v>光栅光谱实验</v>
      </c>
      <c r="E237" s="55" t="s">
        <v>21</v>
      </c>
      <c r="F237" s="47" t="s">
        <v>21</v>
      </c>
      <c r="G237" s="47" t="s">
        <v>21</v>
      </c>
      <c r="H237" s="47"/>
      <c r="I237" s="47"/>
      <c r="J237" s="47"/>
      <c r="K237" s="55"/>
    </row>
    <row r="238" spans="1:11">
      <c r="A238" s="22"/>
      <c r="B238" s="31"/>
      <c r="C238" s="47">
        <v>2</v>
      </c>
      <c r="D238" s="47" t="str">
        <f>IFERROR(VLOOKUP(C238,实验列表!A:B,2,FALSE),"")</f>
        <v>光电效应普朗克常数</v>
      </c>
      <c r="E238" s="55"/>
      <c r="F238" s="47" t="s">
        <v>22</v>
      </c>
      <c r="G238" s="47" t="s">
        <v>22</v>
      </c>
      <c r="H238" s="47"/>
      <c r="I238" s="47"/>
      <c r="J238" s="66"/>
      <c r="K238" s="55"/>
    </row>
    <row r="239" spans="1:11">
      <c r="A239" s="22"/>
      <c r="B239" s="31"/>
      <c r="C239" s="29">
        <v>3</v>
      </c>
      <c r="D239" s="30" t="str">
        <f>IFERROR(VLOOKUP(C239,实验列表!A:B,2,FALSE),"")</f>
        <v>光的偏振</v>
      </c>
      <c r="E239" s="55"/>
      <c r="F239" s="47"/>
      <c r="G239" s="47"/>
      <c r="H239" s="47" t="s">
        <v>21</v>
      </c>
      <c r="I239" s="47" t="s">
        <v>21</v>
      </c>
      <c r="J239" s="47" t="s">
        <v>23</v>
      </c>
      <c r="K239" s="55" t="s">
        <v>23</v>
      </c>
    </row>
    <row r="240" spans="1:11">
      <c r="A240" s="22"/>
      <c r="B240" s="31"/>
      <c r="C240" s="29">
        <v>4</v>
      </c>
      <c r="D240" s="30" t="str">
        <f>IFERROR(VLOOKUP(C240,实验列表!A:B,2,FALSE),"")</f>
        <v>光的干涉</v>
      </c>
      <c r="E240" s="55"/>
      <c r="F240" s="47"/>
      <c r="G240" s="47"/>
      <c r="H240" s="47" t="s">
        <v>18</v>
      </c>
      <c r="I240" s="47"/>
      <c r="J240" s="47"/>
      <c r="K240" s="55"/>
    </row>
    <row r="241" hidden="1" spans="1:11">
      <c r="A241" s="22"/>
      <c r="B241" s="31"/>
      <c r="C241" s="29">
        <v>5</v>
      </c>
      <c r="D241" s="30" t="str">
        <f>IFERROR(VLOOKUP(C241,实验列表!A:B,2,FALSE),"")</f>
        <v/>
      </c>
      <c r="E241" s="55"/>
      <c r="F241" s="47"/>
      <c r="G241" s="47"/>
      <c r="H241" s="47"/>
      <c r="I241" s="47"/>
      <c r="J241" s="47"/>
      <c r="K241" s="55"/>
    </row>
    <row r="242" hidden="1" spans="1:11">
      <c r="A242" s="22"/>
      <c r="B242" s="32"/>
      <c r="C242" s="29">
        <v>6</v>
      </c>
      <c r="D242" s="30" t="str">
        <f>IFERROR(VLOOKUP(C242,实验列表!A:B,2,FALSE),"")</f>
        <v/>
      </c>
      <c r="E242" s="55"/>
      <c r="F242" s="47"/>
      <c r="G242" s="47"/>
      <c r="H242" s="47"/>
      <c r="I242" s="47"/>
      <c r="J242" s="47"/>
      <c r="K242" s="55"/>
    </row>
    <row r="243" customHeight="1" spans="1:11">
      <c r="A243" s="22"/>
      <c r="B243" s="33" t="str">
        <f>"晚上"&amp;CHAR(10)&amp;VLOOKUP("晚上时间",参数表!A:B,2,FALSE)</f>
        <v>晚上
6:30-8:45</v>
      </c>
      <c r="C243" s="34">
        <v>1</v>
      </c>
      <c r="D243" s="35" t="str">
        <f>IFERROR(VLOOKUP(C243,实验列表!A:B,2,FALSE),"")</f>
        <v>光栅光谱实验</v>
      </c>
      <c r="E243" s="49" t="s">
        <v>21</v>
      </c>
      <c r="F243" s="49" t="s">
        <v>21</v>
      </c>
      <c r="G243" s="49" t="s">
        <v>21</v>
      </c>
      <c r="H243" s="49"/>
      <c r="I243" s="49"/>
      <c r="J243" s="49"/>
      <c r="K243" s="49"/>
    </row>
    <row r="244" spans="1:11">
      <c r="A244" s="22"/>
      <c r="B244" s="41"/>
      <c r="C244" s="49">
        <v>2</v>
      </c>
      <c r="D244" s="49" t="str">
        <f>IFERROR(VLOOKUP(C244,实验列表!A:B,2,FALSE),"")</f>
        <v>光电效应普朗克常数</v>
      </c>
      <c r="E244" s="67"/>
      <c r="F244" s="49" t="s">
        <v>22</v>
      </c>
      <c r="G244" s="49" t="s">
        <v>22</v>
      </c>
      <c r="H244" s="49"/>
      <c r="I244" s="49"/>
      <c r="J244" s="49"/>
      <c r="K244" s="49"/>
    </row>
    <row r="245" spans="1:11">
      <c r="A245" s="22"/>
      <c r="B245" s="41"/>
      <c r="C245" s="34">
        <v>3</v>
      </c>
      <c r="D245" s="35" t="str">
        <f>IFERROR(VLOOKUP(C245,实验列表!A:B,2,FALSE),"")</f>
        <v>光的偏振</v>
      </c>
      <c r="E245" s="49"/>
      <c r="F245" s="49"/>
      <c r="G245" s="49"/>
      <c r="H245" s="49" t="s">
        <v>21</v>
      </c>
      <c r="I245" s="49" t="s">
        <v>21</v>
      </c>
      <c r="J245" s="49" t="s">
        <v>23</v>
      </c>
      <c r="K245" s="49" t="s">
        <v>23</v>
      </c>
    </row>
    <row r="246" ht="18.75" spans="1:11">
      <c r="A246" s="22"/>
      <c r="B246" s="41"/>
      <c r="C246" s="34">
        <v>4</v>
      </c>
      <c r="D246" s="35" t="str">
        <f>IFERROR(VLOOKUP(C246,实验列表!A:B,2,FALSE),"")</f>
        <v>光的干涉</v>
      </c>
      <c r="E246" s="49"/>
      <c r="F246" s="49"/>
      <c r="G246" s="49"/>
      <c r="H246" s="49"/>
      <c r="I246" s="49"/>
      <c r="J246" s="49"/>
      <c r="K246" s="49"/>
    </row>
    <row r="247" hidden="1" spans="1:11">
      <c r="A247" s="22"/>
      <c r="B247" s="41"/>
      <c r="C247" s="34">
        <v>5</v>
      </c>
      <c r="D247" s="35" t="str">
        <f>IFERROR(VLOOKUP(C247,实验列表!A:B,2,FALSE),"")</f>
        <v/>
      </c>
      <c r="E247" s="49"/>
      <c r="F247" s="49"/>
      <c r="G247" s="49"/>
      <c r="H247" s="49"/>
      <c r="I247" s="49"/>
      <c r="J247" s="49"/>
      <c r="K247" s="49"/>
    </row>
    <row r="248" ht="18.75" hidden="1" spans="1:11">
      <c r="A248" s="37"/>
      <c r="B248" s="42"/>
      <c r="C248" s="39">
        <v>6</v>
      </c>
      <c r="D248" s="40" t="str">
        <f>IFERROR(VLOOKUP(C248,实验列表!A:B,2,FALSE),"")</f>
        <v/>
      </c>
      <c r="E248" s="57"/>
      <c r="F248" s="53"/>
      <c r="G248" s="53"/>
      <c r="H248" s="53"/>
      <c r="I248" s="53"/>
      <c r="J248" s="53"/>
      <c r="K248" s="57"/>
    </row>
    <row r="249" s="12" customFormat="1" ht="18.75" spans="1:13">
      <c r="A249" s="68" t="str">
        <f>"第"&amp;MID(A230,2,FIND("周",A230)-2)+1&amp;"周"</f>
        <v>第18周</v>
      </c>
      <c r="B249" s="69"/>
      <c r="C249" s="70" t="s">
        <v>0</v>
      </c>
      <c r="D249" s="71"/>
      <c r="E249" s="75" t="s">
        <v>1</v>
      </c>
      <c r="F249" s="75" t="s">
        <v>2</v>
      </c>
      <c r="G249" s="75" t="s">
        <v>3</v>
      </c>
      <c r="H249" s="75" t="s">
        <v>4</v>
      </c>
      <c r="I249" s="75" t="s">
        <v>5</v>
      </c>
      <c r="J249" s="75" t="s">
        <v>6</v>
      </c>
      <c r="K249" s="75" t="s">
        <v>7</v>
      </c>
      <c r="M249" s="76"/>
    </row>
    <row r="250" s="12" customFormat="1" spans="1:13">
      <c r="A250" s="72" t="str">
        <f>VLOOKUP(A249,校历!B:F,4,FALSE)</f>
        <v>12.16-12.22</v>
      </c>
      <c r="B250" s="23" t="str">
        <f>"上午"&amp;CHAR(10)&amp;VLOOKUP("上午时间",参数表!A:B,2,FALSE)</f>
        <v>上午
9:55-12:10</v>
      </c>
      <c r="C250" s="73">
        <v>1</v>
      </c>
      <c r="D250" s="74" t="str">
        <f>IFERROR(VLOOKUP(C250,实验列表!A:B,2,FALSE),"")</f>
        <v>光栅光谱实验</v>
      </c>
      <c r="E250" s="66"/>
      <c r="F250" s="66"/>
      <c r="G250" s="66"/>
      <c r="H250" s="66"/>
      <c r="I250" s="66"/>
      <c r="J250" s="66"/>
      <c r="K250" s="67"/>
      <c r="M250" s="76"/>
    </row>
    <row r="251" s="12" customFormat="1" spans="1:13">
      <c r="A251" s="72"/>
      <c r="B251" s="26"/>
      <c r="C251" s="66">
        <v>2</v>
      </c>
      <c r="D251" s="66" t="str">
        <f>IFERROR(VLOOKUP(C251,实验列表!A:B,2,FALSE),"")</f>
        <v>光电效应普朗克常数</v>
      </c>
      <c r="E251" s="66"/>
      <c r="F251" s="66"/>
      <c r="G251" s="66"/>
      <c r="H251" s="66"/>
      <c r="I251" s="66"/>
      <c r="J251" s="66"/>
      <c r="K251" s="67"/>
      <c r="M251" s="76"/>
    </row>
    <row r="252" s="12" customFormat="1" spans="1:13">
      <c r="A252" s="72"/>
      <c r="B252" s="26"/>
      <c r="C252" s="73">
        <v>3</v>
      </c>
      <c r="D252" s="74" t="str">
        <f>IFERROR(VLOOKUP(C252,实验列表!A:B,2,FALSE),"")</f>
        <v>光的偏振</v>
      </c>
      <c r="E252" s="66"/>
      <c r="F252" s="66"/>
      <c r="G252" s="66"/>
      <c r="H252" s="66"/>
      <c r="I252" s="66"/>
      <c r="J252" s="66"/>
      <c r="K252" s="67"/>
      <c r="M252" s="76"/>
    </row>
    <row r="253" s="12" customFormat="1" spans="1:13">
      <c r="A253" s="72"/>
      <c r="B253" s="26"/>
      <c r="C253" s="73">
        <v>4</v>
      </c>
      <c r="D253" s="74" t="str">
        <f>IFERROR(VLOOKUP(C253,实验列表!A:B,2,FALSE),"")</f>
        <v>光的干涉</v>
      </c>
      <c r="E253" s="66"/>
      <c r="F253" s="66"/>
      <c r="G253" s="66"/>
      <c r="H253" s="66"/>
      <c r="I253" s="66"/>
      <c r="J253" s="66"/>
      <c r="K253" s="67"/>
      <c r="M253" s="76"/>
    </row>
    <row r="254" hidden="1" spans="1:11">
      <c r="A254" s="22"/>
      <c r="B254" s="26"/>
      <c r="C254" s="24">
        <v>5</v>
      </c>
      <c r="D254" s="25" t="str">
        <f>IFERROR(VLOOKUP(C254,实验列表!A:B,2,FALSE),"")</f>
        <v/>
      </c>
      <c r="E254" s="46"/>
      <c r="F254" s="46"/>
      <c r="G254" s="46"/>
      <c r="H254" s="46"/>
      <c r="I254" s="46"/>
      <c r="J254" s="46"/>
      <c r="K254" s="61"/>
    </row>
    <row r="255" hidden="1" spans="1:11">
      <c r="A255" s="22"/>
      <c r="B255" s="27"/>
      <c r="C255" s="24">
        <v>6</v>
      </c>
      <c r="D255" s="25" t="str">
        <f>IFERROR(VLOOKUP(C255,实验列表!A:B,2,FALSE),"")</f>
        <v/>
      </c>
      <c r="E255" s="46"/>
      <c r="F255" s="46"/>
      <c r="G255" s="46"/>
      <c r="H255" s="46"/>
      <c r="I255" s="46"/>
      <c r="J255" s="46"/>
      <c r="K255" s="61"/>
    </row>
    <row r="256" s="12" customFormat="1" spans="1:13">
      <c r="A256" s="72"/>
      <c r="B256" s="28" t="str">
        <f>"下午"&amp;CHAR(10)&amp;VLOOKUP("下午时间",参数表!A:B,2,FALSE)</f>
        <v>下午
3:15-5:30</v>
      </c>
      <c r="C256" s="73">
        <v>1</v>
      </c>
      <c r="D256" s="74" t="str">
        <f>IFERROR(VLOOKUP(C256,实验列表!A:B,2,FALSE),"")</f>
        <v>光栅光谱实验</v>
      </c>
      <c r="E256" s="67"/>
      <c r="F256" s="66"/>
      <c r="G256" s="66"/>
      <c r="H256" s="66"/>
      <c r="I256" s="66"/>
      <c r="J256" s="66"/>
      <c r="K256" s="67"/>
      <c r="M256" s="76"/>
    </row>
    <row r="257" s="12" customFormat="1" spans="1:13">
      <c r="A257" s="72"/>
      <c r="B257" s="31"/>
      <c r="C257" s="66">
        <v>2</v>
      </c>
      <c r="D257" s="66" t="str">
        <f>IFERROR(VLOOKUP(C257,实验列表!A:B,2,FALSE),"")</f>
        <v>光电效应普朗克常数</v>
      </c>
      <c r="E257" s="67"/>
      <c r="F257" s="66"/>
      <c r="G257" s="66"/>
      <c r="H257" s="66"/>
      <c r="I257" s="66"/>
      <c r="J257" s="66"/>
      <c r="K257" s="67"/>
      <c r="M257" s="76"/>
    </row>
    <row r="258" s="12" customFormat="1" spans="1:13">
      <c r="A258" s="72"/>
      <c r="B258" s="31"/>
      <c r="C258" s="73">
        <v>3</v>
      </c>
      <c r="D258" s="74" t="str">
        <f>IFERROR(VLOOKUP(C258,实验列表!A:B,2,FALSE),"")</f>
        <v>光的偏振</v>
      </c>
      <c r="E258" s="67"/>
      <c r="F258" s="66"/>
      <c r="G258" s="66"/>
      <c r="H258" s="66"/>
      <c r="I258" s="66"/>
      <c r="J258" s="66"/>
      <c r="K258" s="67"/>
      <c r="M258" s="76"/>
    </row>
    <row r="259" s="12" customFormat="1" spans="1:13">
      <c r="A259" s="72"/>
      <c r="B259" s="31"/>
      <c r="C259" s="73">
        <v>4</v>
      </c>
      <c r="D259" s="74" t="str">
        <f>IFERROR(VLOOKUP(C259,实验列表!A:B,2,FALSE),"")</f>
        <v>光的干涉</v>
      </c>
      <c r="E259" s="67"/>
      <c r="F259" s="66"/>
      <c r="G259" s="66"/>
      <c r="H259" s="66"/>
      <c r="I259" s="66"/>
      <c r="J259" s="66"/>
      <c r="K259" s="67"/>
      <c r="M259" s="76"/>
    </row>
    <row r="260" hidden="1" spans="1:11">
      <c r="A260" s="22"/>
      <c r="B260" s="31"/>
      <c r="C260" s="29">
        <v>5</v>
      </c>
      <c r="D260" s="30" t="str">
        <f>IFERROR(VLOOKUP(C260,实验列表!A:B,2,FALSE),"")</f>
        <v/>
      </c>
      <c r="E260" s="55"/>
      <c r="F260" s="47"/>
      <c r="G260" s="47"/>
      <c r="H260" s="47"/>
      <c r="I260" s="47"/>
      <c r="J260" s="47"/>
      <c r="K260" s="55"/>
    </row>
    <row r="261" hidden="1" spans="1:11">
      <c r="A261" s="22"/>
      <c r="B261" s="32"/>
      <c r="C261" s="29">
        <v>6</v>
      </c>
      <c r="D261" s="30" t="str">
        <f>IFERROR(VLOOKUP(C261,实验列表!A:B,2,FALSE),"")</f>
        <v/>
      </c>
      <c r="E261" s="55"/>
      <c r="F261" s="47"/>
      <c r="G261" s="47"/>
      <c r="H261" s="47"/>
      <c r="I261" s="47"/>
      <c r="J261" s="47"/>
      <c r="K261" s="55"/>
    </row>
    <row r="262" s="12" customFormat="1" spans="1:13">
      <c r="A262" s="72"/>
      <c r="B262" s="33" t="str">
        <f>"晚上"&amp;CHAR(10)&amp;VLOOKUP("晚上时间",参数表!A:B,2,FALSE)</f>
        <v>晚上
6:30-8:45</v>
      </c>
      <c r="C262" s="77">
        <v>1</v>
      </c>
      <c r="D262" s="78" t="str">
        <f>IFERROR(VLOOKUP(C262,实验列表!A:B,2,FALSE),"")</f>
        <v>光栅光谱实验</v>
      </c>
      <c r="E262" s="67"/>
      <c r="F262" s="67"/>
      <c r="G262" s="67"/>
      <c r="H262" s="67"/>
      <c r="I262" s="67"/>
      <c r="J262" s="67"/>
      <c r="K262" s="67"/>
      <c r="M262" s="76"/>
    </row>
    <row r="263" s="12" customFormat="1" spans="1:13">
      <c r="A263" s="72"/>
      <c r="B263" s="41"/>
      <c r="C263" s="67">
        <v>2</v>
      </c>
      <c r="D263" s="67" t="str">
        <f>IFERROR(VLOOKUP(C263,实验列表!A:B,2,FALSE),"")</f>
        <v>光电效应普朗克常数</v>
      </c>
      <c r="E263" s="67"/>
      <c r="F263" s="67"/>
      <c r="G263" s="67"/>
      <c r="H263" s="67"/>
      <c r="I263" s="67"/>
      <c r="J263" s="67"/>
      <c r="K263" s="67"/>
      <c r="M263" s="76"/>
    </row>
    <row r="264" s="12" customFormat="1" spans="1:13">
      <c r="A264" s="72"/>
      <c r="B264" s="41"/>
      <c r="C264" s="77">
        <v>3</v>
      </c>
      <c r="D264" s="78" t="str">
        <f>IFERROR(VLOOKUP(C264,实验列表!A:B,2,FALSE),"")</f>
        <v>光的偏振</v>
      </c>
      <c r="E264" s="67"/>
      <c r="F264" s="67"/>
      <c r="G264" s="67"/>
      <c r="H264" s="67"/>
      <c r="I264" s="67"/>
      <c r="J264" s="67"/>
      <c r="K264" s="67"/>
      <c r="M264" s="76"/>
    </row>
    <row r="265" s="12" customFormat="1" spans="1:13">
      <c r="A265" s="72"/>
      <c r="B265" s="41"/>
      <c r="C265" s="77">
        <v>4</v>
      </c>
      <c r="D265" s="78" t="str">
        <f>IFERROR(VLOOKUP(C265,实验列表!A:B,2,FALSE),"")</f>
        <v>光的干涉</v>
      </c>
      <c r="E265" s="67"/>
      <c r="F265" s="67"/>
      <c r="G265" s="67"/>
      <c r="H265" s="67"/>
      <c r="I265" s="67"/>
      <c r="J265" s="67"/>
      <c r="K265" s="67"/>
      <c r="M265" s="76"/>
    </row>
    <row r="266" hidden="1" spans="1:11">
      <c r="A266" s="22"/>
      <c r="B266" s="41"/>
      <c r="C266" s="34">
        <v>5</v>
      </c>
      <c r="D266" s="35" t="str">
        <f>IFERROR(VLOOKUP(C266,实验列表!A:B,2,FALSE),"")</f>
        <v/>
      </c>
      <c r="E266" s="49"/>
      <c r="F266" s="49"/>
      <c r="G266" s="49"/>
      <c r="H266" s="49"/>
      <c r="I266" s="49"/>
      <c r="J266" s="49"/>
      <c r="K266" s="49"/>
    </row>
    <row r="267" ht="18.75" hidden="1" spans="1:11">
      <c r="A267" s="37"/>
      <c r="B267" s="42"/>
      <c r="C267" s="39">
        <v>6</v>
      </c>
      <c r="D267" s="40" t="str">
        <f>IFERROR(VLOOKUP(C267,实验列表!A:B,2,FALSE),"")</f>
        <v/>
      </c>
      <c r="E267" s="57"/>
      <c r="F267" s="53"/>
      <c r="G267" s="53"/>
      <c r="H267" s="53"/>
      <c r="I267" s="53"/>
      <c r="J267" s="53"/>
      <c r="K267" s="57"/>
    </row>
  </sheetData>
  <sheetProtection formatCells="0" insertHyperlinks="0" autoFilter="0"/>
  <autoFilter ref="C1:C267">
    <filterColumn colId="0">
      <filters>
        <filter val="1"/>
        <filter val="2"/>
        <filter val="3"/>
        <filter val="4"/>
        <filter val="实验项目"/>
      </filters>
    </filterColumn>
    <extLst/>
  </autoFilter>
  <mergeCells count="57">
    <mergeCell ref="B1:K1"/>
    <mergeCell ref="C2:D2"/>
    <mergeCell ref="C21:D21"/>
    <mergeCell ref="C40:D40"/>
    <mergeCell ref="C59:D59"/>
    <mergeCell ref="C78:D78"/>
    <mergeCell ref="C97:D97"/>
    <mergeCell ref="C116:D116"/>
    <mergeCell ref="C135:D135"/>
    <mergeCell ref="C154:D154"/>
    <mergeCell ref="C173:D173"/>
    <mergeCell ref="C192:D192"/>
    <mergeCell ref="C211:D211"/>
    <mergeCell ref="C230:D230"/>
    <mergeCell ref="C249:D249"/>
    <mergeCell ref="B3:B8"/>
    <mergeCell ref="B9:B14"/>
    <mergeCell ref="B15:B20"/>
    <mergeCell ref="B22:B27"/>
    <mergeCell ref="B28:B33"/>
    <mergeCell ref="B34:B39"/>
    <mergeCell ref="B41:B46"/>
    <mergeCell ref="B47:B52"/>
    <mergeCell ref="B53:B58"/>
    <mergeCell ref="B60:B65"/>
    <mergeCell ref="B66:B71"/>
    <mergeCell ref="B72:B77"/>
    <mergeCell ref="B79:B84"/>
    <mergeCell ref="B85:B90"/>
    <mergeCell ref="B91:B96"/>
    <mergeCell ref="B98:B103"/>
    <mergeCell ref="B104:B109"/>
    <mergeCell ref="B110:B115"/>
    <mergeCell ref="B117:B122"/>
    <mergeCell ref="B123:B128"/>
    <mergeCell ref="B129:B134"/>
    <mergeCell ref="B136:B141"/>
    <mergeCell ref="B142:B147"/>
    <mergeCell ref="B148:B153"/>
    <mergeCell ref="B155:B160"/>
    <mergeCell ref="B161:B166"/>
    <mergeCell ref="B167:B172"/>
    <mergeCell ref="B174:B179"/>
    <mergeCell ref="B180:B185"/>
    <mergeCell ref="B186:B191"/>
    <mergeCell ref="B193:B198"/>
    <mergeCell ref="B199:B204"/>
    <mergeCell ref="B205:B210"/>
    <mergeCell ref="B212:B217"/>
    <mergeCell ref="B218:B223"/>
    <mergeCell ref="B224:B229"/>
    <mergeCell ref="B231:B236"/>
    <mergeCell ref="B237:B242"/>
    <mergeCell ref="B243:B248"/>
    <mergeCell ref="B250:B255"/>
    <mergeCell ref="B256:B261"/>
    <mergeCell ref="B262:B267"/>
  </mergeCells>
  <pageMargins left="0.7" right="0.7" top="0.75" bottom="0.75" header="0.3" footer="0.3"/>
  <pageSetup paperSize="9" orientation="portrait" horizontalDpi="1200" verticalDpi="12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18"/>
  <sheetViews>
    <sheetView workbookViewId="0">
      <selection activeCell="K30" sqref="K30"/>
    </sheetView>
  </sheetViews>
  <sheetFormatPr defaultColWidth="9" defaultRowHeight="14.25" outlineLevelCol="5"/>
  <cols>
    <col min="1" max="1" width="10.75" customWidth="1"/>
    <col min="2" max="2" width="11.125" customWidth="1"/>
    <col min="4" max="4" width="11.25" customWidth="1"/>
    <col min="5" max="5" width="8.625"/>
    <col min="6" max="6" width="8.875" style="11"/>
  </cols>
  <sheetData>
    <row r="1" spans="2:6">
      <c r="B1" t="s">
        <v>24</v>
      </c>
      <c r="C1" t="s">
        <v>25</v>
      </c>
      <c r="D1" t="s">
        <v>26</v>
      </c>
      <c r="E1" t="s">
        <v>27</v>
      </c>
      <c r="F1" s="11" t="s">
        <v>28</v>
      </c>
    </row>
    <row r="2" spans="1:6">
      <c r="A2" t="s">
        <v>8</v>
      </c>
      <c r="B2">
        <v>23</v>
      </c>
      <c r="C2">
        <v>25</v>
      </c>
      <c r="F2" s="11">
        <v>48</v>
      </c>
    </row>
    <row r="3" spans="1:6">
      <c r="A3" t="s">
        <v>9</v>
      </c>
      <c r="C3">
        <v>34</v>
      </c>
      <c r="D3">
        <v>34</v>
      </c>
      <c r="F3" s="11">
        <v>68</v>
      </c>
    </row>
    <row r="4" spans="1:6">
      <c r="A4" t="s">
        <v>10</v>
      </c>
      <c r="B4">
        <v>35</v>
      </c>
      <c r="D4">
        <v>35</v>
      </c>
      <c r="F4" s="11">
        <v>70</v>
      </c>
    </row>
    <row r="5" spans="1:6">
      <c r="A5" t="s">
        <v>11</v>
      </c>
      <c r="C5">
        <v>23</v>
      </c>
      <c r="F5" s="11">
        <v>23</v>
      </c>
    </row>
    <row r="6" spans="1:6">
      <c r="A6" t="s">
        <v>12</v>
      </c>
      <c r="D6">
        <v>4</v>
      </c>
      <c r="F6" s="11">
        <v>4</v>
      </c>
    </row>
    <row r="7" spans="1:6">
      <c r="A7" t="s">
        <v>13</v>
      </c>
      <c r="C7">
        <v>4</v>
      </c>
      <c r="F7" s="11">
        <v>4</v>
      </c>
    </row>
    <row r="8" spans="1:6">
      <c r="A8" t="s">
        <v>14</v>
      </c>
      <c r="B8">
        <v>4</v>
      </c>
      <c r="F8" s="11">
        <v>4</v>
      </c>
    </row>
    <row r="9" spans="1:6">
      <c r="A9" t="s">
        <v>15</v>
      </c>
      <c r="E9">
        <v>34</v>
      </c>
      <c r="F9" s="11">
        <v>34</v>
      </c>
    </row>
    <row r="10" spans="1:6">
      <c r="A10" t="s">
        <v>16</v>
      </c>
      <c r="E10">
        <v>25</v>
      </c>
      <c r="F10" s="11">
        <v>25</v>
      </c>
    </row>
    <row r="11" spans="1:6">
      <c r="A11" t="s">
        <v>17</v>
      </c>
      <c r="E11">
        <v>4</v>
      </c>
      <c r="F11" s="11">
        <v>4</v>
      </c>
    </row>
    <row r="12" spans="1:6">
      <c r="A12" t="s">
        <v>18</v>
      </c>
      <c r="D12">
        <v>13</v>
      </c>
      <c r="F12" s="11">
        <v>13</v>
      </c>
    </row>
    <row r="13" spans="1:6">
      <c r="A13" t="s">
        <v>19</v>
      </c>
      <c r="D13">
        <v>12</v>
      </c>
      <c r="F13" s="11">
        <v>12</v>
      </c>
    </row>
    <row r="14" spans="1:6">
      <c r="A14" t="s">
        <v>20</v>
      </c>
      <c r="E14">
        <v>11</v>
      </c>
      <c r="F14" s="11">
        <v>11</v>
      </c>
    </row>
    <row r="15" spans="1:6">
      <c r="A15" t="s">
        <v>21</v>
      </c>
      <c r="B15">
        <v>36</v>
      </c>
      <c r="E15">
        <v>12</v>
      </c>
      <c r="F15" s="11">
        <v>48</v>
      </c>
    </row>
    <row r="16" spans="1:6">
      <c r="A16" t="s">
        <v>22</v>
      </c>
      <c r="C16">
        <v>12</v>
      </c>
      <c r="F16" s="11">
        <v>12</v>
      </c>
    </row>
    <row r="17" spans="1:6">
      <c r="A17" t="s">
        <v>23</v>
      </c>
      <c r="E17">
        <v>12</v>
      </c>
      <c r="F17" s="11">
        <v>12</v>
      </c>
    </row>
    <row r="18" spans="1:6">
      <c r="A18" s="11" t="s">
        <v>28</v>
      </c>
      <c r="B18" s="11">
        <v>98</v>
      </c>
      <c r="C18" s="11">
        <v>98</v>
      </c>
      <c r="D18" s="11">
        <v>98</v>
      </c>
      <c r="E18" s="11">
        <v>98</v>
      </c>
      <c r="F18" s="11">
        <v>392</v>
      </c>
    </row>
  </sheetData>
  <sheetProtection formatCells="0" insertHyperlinks="0" autoFilter="0"/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6145" r:id="rId3">
          <controlPr defaultSize="0" r:id="rId4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6145" r:id="rId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1"/>
  <sheetViews>
    <sheetView workbookViewId="0">
      <selection activeCell="B5" sqref="B5"/>
    </sheetView>
  </sheetViews>
  <sheetFormatPr defaultColWidth="9" defaultRowHeight="14.25" outlineLevelCol="1"/>
  <cols>
    <col min="1" max="1" width="9" style="1"/>
    <col min="2" max="2" width="17.375" style="1" customWidth="1"/>
  </cols>
  <sheetData>
    <row r="1" spans="1:2">
      <c r="A1" s="3" t="s">
        <v>29</v>
      </c>
      <c r="B1" s="3" t="s">
        <v>0</v>
      </c>
    </row>
    <row r="2" spans="1:2">
      <c r="A2" s="5">
        <v>1</v>
      </c>
      <c r="B2" s="5" t="s">
        <v>24</v>
      </c>
    </row>
    <row r="3" spans="1:2">
      <c r="A3" s="5">
        <v>2</v>
      </c>
      <c r="B3" s="5" t="s">
        <v>25</v>
      </c>
    </row>
    <row r="4" spans="1:2">
      <c r="A4" s="5">
        <v>3</v>
      </c>
      <c r="B4" s="5" t="s">
        <v>27</v>
      </c>
    </row>
    <row r="5" spans="1:2">
      <c r="A5" s="5">
        <v>4</v>
      </c>
      <c r="B5" s="5" t="s">
        <v>26</v>
      </c>
    </row>
    <row r="6" spans="1:2">
      <c r="A6" s="5"/>
      <c r="B6" s="5"/>
    </row>
    <row r="7" spans="1:2">
      <c r="A7" s="5"/>
      <c r="B7" s="5"/>
    </row>
    <row r="8" spans="1:2">
      <c r="A8" s="5"/>
      <c r="B8" s="5"/>
    </row>
    <row r="9" spans="1:2">
      <c r="A9" s="5"/>
      <c r="B9" s="5"/>
    </row>
    <row r="10" spans="1:2">
      <c r="A10" s="5"/>
      <c r="B10" s="5"/>
    </row>
    <row r="11" spans="1:2">
      <c r="A11" s="5"/>
      <c r="B11" s="5"/>
    </row>
  </sheetData>
  <sheetProtection formatCells="0" insertHyperlinks="0" autoFilter="0"/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9"/>
  <sheetViews>
    <sheetView workbookViewId="0">
      <selection activeCell="B5" sqref="B5"/>
    </sheetView>
  </sheetViews>
  <sheetFormatPr defaultColWidth="9" defaultRowHeight="14.25" outlineLevelCol="2"/>
  <cols>
    <col min="1" max="1" width="12.125" style="1" customWidth="1"/>
    <col min="2" max="2" width="33" style="1" customWidth="1"/>
    <col min="3" max="3" width="28.375" customWidth="1"/>
  </cols>
  <sheetData>
    <row r="1" spans="1:3">
      <c r="A1" s="3" t="s">
        <v>30</v>
      </c>
      <c r="B1" s="3" t="s">
        <v>31</v>
      </c>
      <c r="C1" s="3" t="s">
        <v>32</v>
      </c>
    </row>
    <row r="2" spans="1:3">
      <c r="A2" s="7" t="s">
        <v>33</v>
      </c>
      <c r="B2" s="8" t="s">
        <v>34</v>
      </c>
      <c r="C2" s="3"/>
    </row>
    <row r="3" spans="1:3">
      <c r="A3" s="7" t="s">
        <v>35</v>
      </c>
      <c r="B3" s="8" t="s">
        <v>36</v>
      </c>
      <c r="C3" s="3"/>
    </row>
    <row r="4" spans="1:3">
      <c r="A4" s="7" t="s">
        <v>37</v>
      </c>
      <c r="B4" s="9">
        <v>45523</v>
      </c>
      <c r="C4" s="10" t="s">
        <v>38</v>
      </c>
    </row>
    <row r="5" spans="1:3">
      <c r="A5" s="5" t="s">
        <v>39</v>
      </c>
      <c r="B5" s="8">
        <v>5</v>
      </c>
      <c r="C5" s="10" t="s">
        <v>40</v>
      </c>
    </row>
    <row r="6" spans="1:3">
      <c r="A6" s="5" t="s">
        <v>41</v>
      </c>
      <c r="B6" s="8" t="s">
        <v>42</v>
      </c>
      <c r="C6" s="10"/>
    </row>
    <row r="7" spans="1:3">
      <c r="A7" s="5" t="s">
        <v>43</v>
      </c>
      <c r="B7" s="8" t="s">
        <v>44</v>
      </c>
      <c r="C7" s="10"/>
    </row>
    <row r="8" spans="1:3">
      <c r="A8" s="5" t="s">
        <v>45</v>
      </c>
      <c r="B8" s="8" t="s">
        <v>46</v>
      </c>
      <c r="C8" s="10"/>
    </row>
    <row r="9" spans="1:3">
      <c r="A9" s="5" t="s">
        <v>47</v>
      </c>
      <c r="B9" s="5">
        <v>123456</v>
      </c>
      <c r="C9" s="10"/>
    </row>
  </sheetData>
  <sheetProtection formatCells="0" insertHyperlinks="0" autoFilter="0"/>
  <pageMargins left="0.7" right="0.7" top="0.75" bottom="0.75" header="0.3" footer="0.3"/>
  <pageSetup paperSize="9" orientation="portrait" horizontalDpi="1200" verticalDpi="120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22"/>
  <sheetViews>
    <sheetView workbookViewId="0">
      <selection activeCell="D31" sqref="D31"/>
    </sheetView>
  </sheetViews>
  <sheetFormatPr defaultColWidth="9" defaultRowHeight="14.25" outlineLevelCol="4"/>
  <cols>
    <col min="1" max="2" width="9" style="1"/>
    <col min="3" max="3" width="15.5" style="2" customWidth="1"/>
    <col min="4" max="4" width="16.125" style="1" customWidth="1"/>
    <col min="5" max="5" width="14.25" style="1" customWidth="1"/>
  </cols>
  <sheetData>
    <row r="1" spans="1:5">
      <c r="A1" s="3" t="s">
        <v>29</v>
      </c>
      <c r="B1" s="3" t="s">
        <v>48</v>
      </c>
      <c r="C1" s="4" t="s">
        <v>37</v>
      </c>
      <c r="D1" s="3" t="s">
        <v>49</v>
      </c>
      <c r="E1" s="3" t="s">
        <v>50</v>
      </c>
    </row>
    <row r="2" spans="1:5">
      <c r="A2" s="5">
        <v>1</v>
      </c>
      <c r="B2" s="5" t="str">
        <f>"第"&amp;A2&amp;"周"</f>
        <v>第1周</v>
      </c>
      <c r="C2" s="6">
        <f>VLOOKUP("起始日期",参数表!A:B,2,FALSE)</f>
        <v>45523</v>
      </c>
      <c r="D2" s="6">
        <f>C2+6</f>
        <v>45529</v>
      </c>
      <c r="E2" s="5" t="str">
        <f>TEXT(C2,"M.D")&amp;"-"&amp;TEXT(D2,"M.D")</f>
        <v>8.19-8.25</v>
      </c>
    </row>
    <row r="3" spans="1:5">
      <c r="A3" s="5">
        <v>2</v>
      </c>
      <c r="B3" s="5" t="str">
        <f t="shared" ref="B3:B22" si="0">"第"&amp;A3&amp;"周"</f>
        <v>第2周</v>
      </c>
      <c r="C3" s="6">
        <f>C2+7</f>
        <v>45530</v>
      </c>
      <c r="D3" s="6">
        <f t="shared" ref="D3:D22" si="1">C3+6</f>
        <v>45536</v>
      </c>
      <c r="E3" s="5" t="str">
        <f t="shared" ref="E3:E22" si="2">TEXT(C3,"M.D")&amp;"-"&amp;TEXT(D3,"M.D")</f>
        <v>8.26-9.1</v>
      </c>
    </row>
    <row r="4" spans="1:5">
      <c r="A4" s="5">
        <v>3</v>
      </c>
      <c r="B4" s="5" t="str">
        <f t="shared" si="0"/>
        <v>第3周</v>
      </c>
      <c r="C4" s="6">
        <f t="shared" ref="C4:C22" si="3">C3+7</f>
        <v>45537</v>
      </c>
      <c r="D4" s="6">
        <f t="shared" si="1"/>
        <v>45543</v>
      </c>
      <c r="E4" s="5" t="str">
        <f t="shared" si="2"/>
        <v>9.2-9.8</v>
      </c>
    </row>
    <row r="5" spans="1:5">
      <c r="A5" s="5">
        <v>4</v>
      </c>
      <c r="B5" s="5" t="str">
        <f t="shared" si="0"/>
        <v>第4周</v>
      </c>
      <c r="C5" s="6">
        <f t="shared" si="3"/>
        <v>45544</v>
      </c>
      <c r="D5" s="6">
        <f t="shared" si="1"/>
        <v>45550</v>
      </c>
      <c r="E5" s="5" t="str">
        <f t="shared" si="2"/>
        <v>9.9-9.15</v>
      </c>
    </row>
    <row r="6" spans="1:5">
      <c r="A6" s="5">
        <v>5</v>
      </c>
      <c r="B6" s="5" t="str">
        <f t="shared" si="0"/>
        <v>第5周</v>
      </c>
      <c r="C6" s="6">
        <f t="shared" si="3"/>
        <v>45551</v>
      </c>
      <c r="D6" s="6">
        <f t="shared" si="1"/>
        <v>45557</v>
      </c>
      <c r="E6" s="5" t="str">
        <f t="shared" si="2"/>
        <v>9.16-9.22</v>
      </c>
    </row>
    <row r="7" spans="1:5">
      <c r="A7" s="5">
        <v>6</v>
      </c>
      <c r="B7" s="5" t="str">
        <f t="shared" si="0"/>
        <v>第6周</v>
      </c>
      <c r="C7" s="6">
        <f t="shared" si="3"/>
        <v>45558</v>
      </c>
      <c r="D7" s="6">
        <f t="shared" si="1"/>
        <v>45564</v>
      </c>
      <c r="E7" s="5" t="str">
        <f t="shared" si="2"/>
        <v>9.23-9.29</v>
      </c>
    </row>
    <row r="8" spans="1:5">
      <c r="A8" s="5">
        <v>7</v>
      </c>
      <c r="B8" s="5" t="str">
        <f t="shared" si="0"/>
        <v>第7周</v>
      </c>
      <c r="C8" s="6">
        <f t="shared" si="3"/>
        <v>45565</v>
      </c>
      <c r="D8" s="6">
        <f t="shared" si="1"/>
        <v>45571</v>
      </c>
      <c r="E8" s="5" t="str">
        <f t="shared" si="2"/>
        <v>9.30-10.6</v>
      </c>
    </row>
    <row r="9" spans="1:5">
      <c r="A9" s="5">
        <v>8</v>
      </c>
      <c r="B9" s="5" t="str">
        <f t="shared" si="0"/>
        <v>第8周</v>
      </c>
      <c r="C9" s="6">
        <f t="shared" si="3"/>
        <v>45572</v>
      </c>
      <c r="D9" s="6">
        <f t="shared" si="1"/>
        <v>45578</v>
      </c>
      <c r="E9" s="5" t="str">
        <f t="shared" si="2"/>
        <v>10.7-10.13</v>
      </c>
    </row>
    <row r="10" spans="1:5">
      <c r="A10" s="5">
        <v>9</v>
      </c>
      <c r="B10" s="5" t="str">
        <f t="shared" si="0"/>
        <v>第9周</v>
      </c>
      <c r="C10" s="6">
        <f t="shared" si="3"/>
        <v>45579</v>
      </c>
      <c r="D10" s="6">
        <f t="shared" si="1"/>
        <v>45585</v>
      </c>
      <c r="E10" s="5" t="str">
        <f t="shared" si="2"/>
        <v>10.14-10.20</v>
      </c>
    </row>
    <row r="11" spans="1:5">
      <c r="A11" s="5">
        <v>10</v>
      </c>
      <c r="B11" s="5" t="str">
        <f t="shared" si="0"/>
        <v>第10周</v>
      </c>
      <c r="C11" s="6">
        <f t="shared" si="3"/>
        <v>45586</v>
      </c>
      <c r="D11" s="6">
        <f t="shared" si="1"/>
        <v>45592</v>
      </c>
      <c r="E11" s="5" t="str">
        <f t="shared" si="2"/>
        <v>10.21-10.27</v>
      </c>
    </row>
    <row r="12" spans="1:5">
      <c r="A12" s="5">
        <v>11</v>
      </c>
      <c r="B12" s="5" t="str">
        <f t="shared" si="0"/>
        <v>第11周</v>
      </c>
      <c r="C12" s="6">
        <f t="shared" si="3"/>
        <v>45593</v>
      </c>
      <c r="D12" s="6">
        <f t="shared" si="1"/>
        <v>45599</v>
      </c>
      <c r="E12" s="5" t="str">
        <f t="shared" si="2"/>
        <v>10.28-11.3</v>
      </c>
    </row>
    <row r="13" spans="1:5">
      <c r="A13" s="5">
        <v>12</v>
      </c>
      <c r="B13" s="5" t="str">
        <f t="shared" si="0"/>
        <v>第12周</v>
      </c>
      <c r="C13" s="6">
        <f t="shared" si="3"/>
        <v>45600</v>
      </c>
      <c r="D13" s="6">
        <f t="shared" si="1"/>
        <v>45606</v>
      </c>
      <c r="E13" s="5" t="str">
        <f t="shared" si="2"/>
        <v>11.4-11.10</v>
      </c>
    </row>
    <row r="14" spans="1:5">
      <c r="A14" s="5">
        <v>13</v>
      </c>
      <c r="B14" s="5" t="str">
        <f t="shared" si="0"/>
        <v>第13周</v>
      </c>
      <c r="C14" s="6">
        <f t="shared" si="3"/>
        <v>45607</v>
      </c>
      <c r="D14" s="6">
        <f t="shared" si="1"/>
        <v>45613</v>
      </c>
      <c r="E14" s="5" t="str">
        <f t="shared" si="2"/>
        <v>11.11-11.17</v>
      </c>
    </row>
    <row r="15" spans="1:5">
      <c r="A15" s="5">
        <v>14</v>
      </c>
      <c r="B15" s="5" t="str">
        <f t="shared" si="0"/>
        <v>第14周</v>
      </c>
      <c r="C15" s="6">
        <f t="shared" si="3"/>
        <v>45614</v>
      </c>
      <c r="D15" s="6">
        <f t="shared" si="1"/>
        <v>45620</v>
      </c>
      <c r="E15" s="5" t="str">
        <f t="shared" si="2"/>
        <v>11.18-11.24</v>
      </c>
    </row>
    <row r="16" spans="1:5">
      <c r="A16" s="5">
        <v>15</v>
      </c>
      <c r="B16" s="5" t="str">
        <f t="shared" si="0"/>
        <v>第15周</v>
      </c>
      <c r="C16" s="6">
        <f t="shared" si="3"/>
        <v>45621</v>
      </c>
      <c r="D16" s="6">
        <f t="shared" si="1"/>
        <v>45627</v>
      </c>
      <c r="E16" s="5" t="str">
        <f t="shared" si="2"/>
        <v>11.25-12.1</v>
      </c>
    </row>
    <row r="17" spans="1:5">
      <c r="A17" s="5">
        <v>16</v>
      </c>
      <c r="B17" s="5" t="str">
        <f t="shared" si="0"/>
        <v>第16周</v>
      </c>
      <c r="C17" s="6">
        <f t="shared" si="3"/>
        <v>45628</v>
      </c>
      <c r="D17" s="6">
        <f t="shared" si="1"/>
        <v>45634</v>
      </c>
      <c r="E17" s="5" t="str">
        <f t="shared" si="2"/>
        <v>12.2-12.8</v>
      </c>
    </row>
    <row r="18" spans="1:5">
      <c r="A18" s="5">
        <v>17</v>
      </c>
      <c r="B18" s="5" t="str">
        <f t="shared" si="0"/>
        <v>第17周</v>
      </c>
      <c r="C18" s="6">
        <f t="shared" si="3"/>
        <v>45635</v>
      </c>
      <c r="D18" s="6">
        <f t="shared" si="1"/>
        <v>45641</v>
      </c>
      <c r="E18" s="5" t="str">
        <f t="shared" si="2"/>
        <v>12.9-12.15</v>
      </c>
    </row>
    <row r="19" spans="1:5">
      <c r="A19" s="5">
        <v>18</v>
      </c>
      <c r="B19" s="5" t="str">
        <f t="shared" si="0"/>
        <v>第18周</v>
      </c>
      <c r="C19" s="6">
        <f t="shared" si="3"/>
        <v>45642</v>
      </c>
      <c r="D19" s="6">
        <f t="shared" si="1"/>
        <v>45648</v>
      </c>
      <c r="E19" s="5" t="str">
        <f t="shared" si="2"/>
        <v>12.16-12.22</v>
      </c>
    </row>
    <row r="20" spans="1:5">
      <c r="A20" s="5">
        <v>19</v>
      </c>
      <c r="B20" s="5" t="str">
        <f t="shared" si="0"/>
        <v>第19周</v>
      </c>
      <c r="C20" s="6">
        <f t="shared" si="3"/>
        <v>45649</v>
      </c>
      <c r="D20" s="6">
        <f t="shared" si="1"/>
        <v>45655</v>
      </c>
      <c r="E20" s="5" t="str">
        <f t="shared" si="2"/>
        <v>12.23-12.29</v>
      </c>
    </row>
    <row r="21" spans="1:5">
      <c r="A21" s="5">
        <v>20</v>
      </c>
      <c r="B21" s="5" t="str">
        <f t="shared" si="0"/>
        <v>第20周</v>
      </c>
      <c r="C21" s="6">
        <f t="shared" si="3"/>
        <v>45656</v>
      </c>
      <c r="D21" s="6">
        <f t="shared" si="1"/>
        <v>45662</v>
      </c>
      <c r="E21" s="5" t="str">
        <f t="shared" si="2"/>
        <v>12.30-1.5</v>
      </c>
    </row>
    <row r="22" spans="1:5">
      <c r="A22" s="5">
        <v>21</v>
      </c>
      <c r="B22" s="5" t="str">
        <f t="shared" si="0"/>
        <v>第21周</v>
      </c>
      <c r="C22" s="6">
        <f t="shared" si="3"/>
        <v>45663</v>
      </c>
      <c r="D22" s="6">
        <f t="shared" si="1"/>
        <v>45669</v>
      </c>
      <c r="E22" s="5" t="str">
        <f t="shared" si="2"/>
        <v>1.6-1.12</v>
      </c>
    </row>
  </sheetData>
  <sheetProtection algorithmName="SHA-512" hashValue="AWRl2htAYfBvW4i/zx70tNhG4a0RK9g1yc9oQia7lR3DVqJU7Eyqtu4ig5A3dQMhxesWxl5gizlE5UzVRJHx+Q==" saltValue="aoOB7Iej+C162gFzDwxbAA==" spinCount="100000" sheet="1" objects="1" scenarios="1"/>
  <pageMargins left="0.7" right="0.7" top="0.75" bottom="0.75" header="0.3" footer="0.3"/>
  <pageSetup paperSize="9" orientation="portrait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omments xmlns="https://web.wps.cn/et/2018/main" xmlns:s="http://schemas.openxmlformats.org/spreadsheetml/2006/main"/>
</file>

<file path=customXml/item2.xml><?xml version="1.0" encoding="utf-8"?>
<woProps xmlns="https://web.wps.cn/et/2018/main" xmlns:s="http://schemas.openxmlformats.org/spreadsheetml/2006/main">
  <woSheetsProps>
    <woSheetProps sheetStid="1" interlineOnOff="0" interlineColor="0" isDbSheet="0" isDashBoardSheet="0"/>
    <woSheetProps sheetStid="8" interlineOnOff="0" interlineColor="0" isDbSheet="0" isDashBoardSheet="0"/>
    <woSheetProps sheetStid="2" interlineOnOff="0" interlineColor="0" isDbSheet="0" isDashBoardSheet="0"/>
    <woSheetProps sheetStid="6" interlineOnOff="0" interlineColor="0" isDbSheet="0" isDashBoardSheet="0"/>
    <woSheetProps sheetStid="4" interlineOnOff="0" interlineColor="0" isDbSheet="0" isDashBoardSheet="0"/>
  </woSheetsProps>
  <woBookProps>
    <bookSettings isFilterShared="1" isAutoUpdatePaused="0" filterType="conn" isMergeTasksAutoUpdate="0" isInserPicAsAttachment="0"/>
  </woBookProps>
</woProps>
</file>

<file path=customXml/item3.xml><?xml version="1.0" encoding="utf-8"?>
<allowEditUser xmlns="https://web.wps.cn/et/2018/main" xmlns:s="http://schemas.openxmlformats.org/spreadsheetml/2006/main" hasInvisiblePropRange="0">
  <rangeList sheetStid="1" master=""/>
  <rangeList sheetStid="8" master=""/>
  <rangeList sheetStid="2" master=""/>
  <rangeList sheetStid="6" master=""/>
  <rangeList sheetStid="4" master=""/>
</allowEditUser>
</file>

<file path=customXml/item4.xml><?xml version="1.0" encoding="utf-8"?>
<pixelators xmlns="https://web.wps.cn/et/2018/main" xmlns:s="http://schemas.openxmlformats.org/spreadsheetml/2006/main">
  <pixelatorList sheetStid="1"/>
  <pixelatorList sheetStid="8"/>
  <pixelatorList sheetStid="2"/>
  <pixelatorList sheetStid="6"/>
  <pixelatorList sheetStid="4"/>
  <pixelatorList sheetStid="10"/>
</pixelator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06C82605-B75B-4693-9329-32AAD527C692}">
  <ds:schemaRefs>
    <ds:schemaRef ds:uri="https://web.wps.cn/et/2018/main"/>
    <ds:schemaRef ds:uri="http://schemas.openxmlformats.org/spreadsheetml/2006/main"/>
  </ds:schemaRefs>
</ds:datastoreItem>
</file>

<file path=customXml/itemProps3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4.xml><?xml version="1.0" encoding="utf-8"?>
<ds:datastoreItem xmlns:ds="http://schemas.openxmlformats.org/officeDocument/2006/customXml" ds:itemID="{224D003E-15C9-4FFE-AB16-9E66474EAE4E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Office WWO_base_provider_20220117102555-321f3fca00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排课表</vt:lpstr>
      <vt:lpstr>排课统计</vt:lpstr>
      <vt:lpstr>实验列表</vt:lpstr>
      <vt:lpstr>参数表</vt:lpstr>
      <vt:lpstr>校历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王振宇</dc:creator>
  <cp:lastModifiedBy>m18131124209@163.com</cp:lastModifiedBy>
  <dcterms:created xsi:type="dcterms:W3CDTF">2015-06-06T02:19:00Z</dcterms:created>
  <dcterms:modified xsi:type="dcterms:W3CDTF">2024-09-13T11:41:00Z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2052-0.0.0.0</vt:lpwstr>
  </property>
</Properties>
</file>